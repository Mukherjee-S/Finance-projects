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PGPM COURSE\Finance\Corporate valuation &amp; Mergers\Mergers and Acquisitions\HUL_GSKCH_M&amp;A Case Study\"/>
    </mc:Choice>
  </mc:AlternateContent>
  <xr:revisionPtr revIDLastSave="0" documentId="13_ncr:1_{6297D50F-763F-454C-B83B-A21608E5A11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ssumption 1_GSKCH" sheetId="2" r:id="rId1"/>
    <sheet name="Income statement_GSKCH" sheetId="1" r:id="rId2"/>
    <sheet name="Assumption 2-HUL_with synergy" sheetId="3" r:id="rId3"/>
    <sheet name=" Relative valuation" sheetId="4" r:id="rId4"/>
    <sheet name="Strategic Context" sheetId="5" r:id="rId5"/>
    <sheet name="Future Outlook" sheetId="6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B20" i="4"/>
  <c r="D20" i="4" s="1"/>
  <c r="B19" i="4"/>
  <c r="D19" i="4" s="1"/>
  <c r="I18" i="4"/>
  <c r="B18" i="4"/>
  <c r="C18" i="4" s="1"/>
  <c r="I5" i="1"/>
  <c r="H5" i="1"/>
  <c r="F12" i="1"/>
  <c r="J5" i="1" l="1"/>
  <c r="K5" i="1" s="1"/>
  <c r="L5" i="1" s="1"/>
  <c r="M5" i="1" s="1"/>
  <c r="H4" i="4"/>
  <c r="B37" i="4" s="1"/>
  <c r="I10" i="1"/>
  <c r="I7" i="1"/>
  <c r="C19" i="4"/>
  <c r="D18" i="4"/>
  <c r="C20" i="4"/>
  <c r="J10" i="1" l="1"/>
  <c r="J25" i="3"/>
  <c r="K25" i="3"/>
  <c r="L25" i="3"/>
  <c r="M25" i="3"/>
  <c r="I25" i="3"/>
  <c r="H26" i="1"/>
  <c r="H26" i="3"/>
  <c r="I5" i="3"/>
  <c r="H27" i="3"/>
  <c r="H13" i="3"/>
  <c r="H11" i="3"/>
  <c r="E27" i="3"/>
  <c r="E25" i="3"/>
  <c r="E14" i="3"/>
  <c r="E13" i="3"/>
  <c r="D13" i="3"/>
  <c r="D25" i="3" s="1"/>
  <c r="C13" i="3"/>
  <c r="C25" i="3" s="1"/>
  <c r="E12" i="3"/>
  <c r="E15" i="3" s="1"/>
  <c r="E19" i="3" s="1"/>
  <c r="E21" i="3" s="1"/>
  <c r="D12" i="3"/>
  <c r="D15" i="3" s="1"/>
  <c r="D19" i="3" s="1"/>
  <c r="D21" i="3" s="1"/>
  <c r="D24" i="3" s="1"/>
  <c r="C12" i="3"/>
  <c r="C15" i="3" s="1"/>
  <c r="C19" i="3" s="1"/>
  <c r="C21" i="3" s="1"/>
  <c r="C24" i="3" s="1"/>
  <c r="E11" i="3"/>
  <c r="D11" i="3"/>
  <c r="C11" i="3"/>
  <c r="E9" i="3"/>
  <c r="D9" i="3"/>
  <c r="C9" i="3"/>
  <c r="E8" i="3"/>
  <c r="E6" i="3"/>
  <c r="I27" i="3" l="1"/>
  <c r="H17" i="4"/>
  <c r="J5" i="3"/>
  <c r="J27" i="3" s="1"/>
  <c r="I19" i="3"/>
  <c r="I17" i="4" s="1"/>
  <c r="I26" i="3"/>
  <c r="E22" i="3"/>
  <c r="E24" i="3" s="1"/>
  <c r="C14" i="3"/>
  <c r="D14" i="3"/>
  <c r="I26" i="1"/>
  <c r="B7" i="4"/>
  <c r="D7" i="4" s="1"/>
  <c r="B6" i="4"/>
  <c r="D6" i="4" s="1"/>
  <c r="I5" i="4"/>
  <c r="B5" i="4"/>
  <c r="B4" i="4"/>
  <c r="C5" i="4" l="1"/>
  <c r="J26" i="3"/>
  <c r="J19" i="3"/>
  <c r="J21" i="3" s="1"/>
  <c r="J23" i="3" s="1"/>
  <c r="J24" i="3" s="1"/>
  <c r="K5" i="3"/>
  <c r="K26" i="3" s="1"/>
  <c r="I21" i="3"/>
  <c r="J26" i="1"/>
  <c r="D4" i="4"/>
  <c r="D5" i="4"/>
  <c r="C6" i="4"/>
  <c r="C7" i="4"/>
  <c r="D12" i="4" l="1"/>
  <c r="B46" i="4" s="1"/>
  <c r="C46" i="4" s="1"/>
  <c r="D10" i="4"/>
  <c r="D11" i="4"/>
  <c r="D9" i="4"/>
  <c r="J28" i="3"/>
  <c r="K27" i="3"/>
  <c r="L5" i="3"/>
  <c r="L26" i="3" s="1"/>
  <c r="K19" i="3"/>
  <c r="K21" i="3" s="1"/>
  <c r="K23" i="3" s="1"/>
  <c r="K24" i="3" s="1"/>
  <c r="K28" i="3" s="1"/>
  <c r="I23" i="3"/>
  <c r="I24" i="3" s="1"/>
  <c r="I28" i="3" s="1"/>
  <c r="K26" i="1"/>
  <c r="E27" i="1"/>
  <c r="H27" i="1" s="1"/>
  <c r="E13" i="1"/>
  <c r="E25" i="1" s="1"/>
  <c r="D13" i="1"/>
  <c r="C13" i="1"/>
  <c r="E11" i="1"/>
  <c r="D11" i="1"/>
  <c r="C11" i="1"/>
  <c r="E9" i="1"/>
  <c r="E12" i="1" s="1"/>
  <c r="D9" i="1"/>
  <c r="D12" i="1" s="1"/>
  <c r="C9" i="1"/>
  <c r="C12" i="1" s="1"/>
  <c r="E8" i="1"/>
  <c r="E6" i="1"/>
  <c r="L27" i="3" l="1"/>
  <c r="M5" i="3"/>
  <c r="M27" i="3" s="1"/>
  <c r="L19" i="3"/>
  <c r="L21" i="3" s="1"/>
  <c r="L23" i="3" s="1"/>
  <c r="I9" i="1"/>
  <c r="J7" i="1"/>
  <c r="J9" i="1" s="1"/>
  <c r="C25" i="1"/>
  <c r="C14" i="1"/>
  <c r="H13" i="1"/>
  <c r="D25" i="1"/>
  <c r="D14" i="1"/>
  <c r="J27" i="1"/>
  <c r="I27" i="1"/>
  <c r="K7" i="1"/>
  <c r="K9" i="1" s="1"/>
  <c r="K27" i="1"/>
  <c r="M10" i="1"/>
  <c r="K10" i="1"/>
  <c r="L10" i="1"/>
  <c r="L27" i="1"/>
  <c r="L26" i="1"/>
  <c r="L7" i="1"/>
  <c r="L9" i="1" s="1"/>
  <c r="C15" i="1"/>
  <c r="C19" i="1" s="1"/>
  <c r="C21" i="1" s="1"/>
  <c r="C24" i="1" s="1"/>
  <c r="D15" i="1"/>
  <c r="D19" i="1" s="1"/>
  <c r="D21" i="1" s="1"/>
  <c r="D24" i="1" s="1"/>
  <c r="E15" i="1"/>
  <c r="E19" i="1" s="1"/>
  <c r="E21" i="1" s="1"/>
  <c r="E22" i="1" s="1"/>
  <c r="E24" i="1" s="1"/>
  <c r="E14" i="1"/>
  <c r="M26" i="3" l="1"/>
  <c r="M19" i="3"/>
  <c r="L24" i="3"/>
  <c r="L28" i="3" s="1"/>
  <c r="K12" i="1"/>
  <c r="J13" i="1"/>
  <c r="K13" i="1"/>
  <c r="M13" i="1"/>
  <c r="M25" i="1" s="1"/>
  <c r="I13" i="1"/>
  <c r="L13" i="1"/>
  <c r="J12" i="1"/>
  <c r="I12" i="1"/>
  <c r="I15" i="1" s="1"/>
  <c r="M27" i="1"/>
  <c r="M26" i="1"/>
  <c r="L12" i="1"/>
  <c r="L15" i="1" s="1"/>
  <c r="L19" i="1" s="1"/>
  <c r="L21" i="1" s="1"/>
  <c r="L23" i="1" s="1"/>
  <c r="M7" i="1"/>
  <c r="M9" i="1" s="1"/>
  <c r="M14" i="1"/>
  <c r="I19" i="1" l="1"/>
  <c r="I21" i="1" s="1"/>
  <c r="I23" i="1" s="1"/>
  <c r="I24" i="1" s="1"/>
  <c r="I4" i="4"/>
  <c r="C4" i="4" s="1"/>
  <c r="M21" i="3"/>
  <c r="M23" i="3" s="1"/>
  <c r="M24" i="3" s="1"/>
  <c r="M28" i="3" s="1"/>
  <c r="K15" i="1"/>
  <c r="K19" i="1" s="1"/>
  <c r="K21" i="1" s="1"/>
  <c r="K23" i="1" s="1"/>
  <c r="K24" i="1" s="1"/>
  <c r="K28" i="1" s="1"/>
  <c r="H19" i="1"/>
  <c r="J15" i="1"/>
  <c r="J19" i="1" s="1"/>
  <c r="J21" i="1" s="1"/>
  <c r="J23" i="1" s="1"/>
  <c r="J24" i="1" s="1"/>
  <c r="L25" i="1"/>
  <c r="L14" i="1"/>
  <c r="I25" i="1"/>
  <c r="I14" i="1"/>
  <c r="K25" i="1"/>
  <c r="K14" i="1"/>
  <c r="J25" i="1"/>
  <c r="J14" i="1"/>
  <c r="M12" i="1"/>
  <c r="M15" i="1" s="1"/>
  <c r="M19" i="1" s="1"/>
  <c r="M21" i="1" s="1"/>
  <c r="M23" i="1" s="1"/>
  <c r="M24" i="1" s="1"/>
  <c r="M28" i="1" s="1"/>
  <c r="L24" i="1"/>
  <c r="L28" i="1" s="1"/>
  <c r="C10" i="4" l="1"/>
  <c r="C11" i="4"/>
  <c r="C12" i="4"/>
  <c r="C9" i="4"/>
  <c r="I28" i="1"/>
  <c r="N28" i="3"/>
  <c r="B33" i="3" s="1"/>
  <c r="B32" i="3"/>
  <c r="J28" i="1"/>
  <c r="N28" i="1"/>
  <c r="B33" i="1" s="1"/>
  <c r="B34" i="1" s="1"/>
  <c r="N24" i="1"/>
  <c r="B45" i="4" l="1"/>
  <c r="C45" i="4" s="1"/>
  <c r="B32" i="1"/>
  <c r="B35" i="1" s="1"/>
  <c r="B37" i="1" s="1"/>
  <c r="B34" i="3"/>
  <c r="B35" i="3" s="1"/>
  <c r="B17" i="4" s="1"/>
  <c r="C17" i="4" l="1"/>
  <c r="C47" i="4"/>
  <c r="D17" i="4"/>
  <c r="B47" i="1"/>
  <c r="C49" i="4"/>
  <c r="B37" i="3"/>
  <c r="B56" i="1"/>
  <c r="D25" i="4" l="1"/>
  <c r="D23" i="4"/>
  <c r="D24" i="4"/>
  <c r="D22" i="4"/>
  <c r="C25" i="4"/>
  <c r="B47" i="4" s="1"/>
  <c r="C24" i="4"/>
  <c r="C22" i="4"/>
  <c r="C23" i="4"/>
  <c r="B43" i="3"/>
  <c r="C48" i="4"/>
  <c r="B52" i="3"/>
</calcChain>
</file>

<file path=xl/sharedStrings.xml><?xml version="1.0" encoding="utf-8"?>
<sst xmlns="http://schemas.openxmlformats.org/spreadsheetml/2006/main" count="165" uniqueCount="92">
  <si>
    <t xml:space="preserve">GSKCH Standalone Valuation </t>
  </si>
  <si>
    <t>(in  INR millions)</t>
  </si>
  <si>
    <t>Historical Period</t>
  </si>
  <si>
    <t>Total Revenue</t>
  </si>
  <si>
    <t xml:space="preserve">   % growth</t>
  </si>
  <si>
    <t>Cost of Goods Sold</t>
  </si>
  <si>
    <t>% of sales</t>
  </si>
  <si>
    <t>Gross Profit</t>
  </si>
  <si>
    <t>Selling, General &amp; Administrative</t>
  </si>
  <si>
    <t>SG&amp;A as a % of sales</t>
  </si>
  <si>
    <t>EBITDA</t>
  </si>
  <si>
    <t>Depreciation &amp; Amortization</t>
  </si>
  <si>
    <t>Operating income</t>
  </si>
  <si>
    <t>Interest income (expense) – net no recurring</t>
  </si>
  <si>
    <t>Nonrecurring</t>
  </si>
  <si>
    <t>Gain (loss) on sale of asset</t>
  </si>
  <si>
    <t>Other income (expense)</t>
  </si>
  <si>
    <t>EBIT</t>
  </si>
  <si>
    <t>Interest expense*</t>
  </si>
  <si>
    <t>PBT</t>
  </si>
  <si>
    <t>Tax %</t>
  </si>
  <si>
    <t>Taxes</t>
  </si>
  <si>
    <t>Net Income (EBIT*(1-t))</t>
  </si>
  <si>
    <t>Plus: Depreciation &amp; Amortization</t>
  </si>
  <si>
    <t>Less (plus): Increase (Decrease) in Capital Expenditures</t>
  </si>
  <si>
    <t>Less: Increase/(Decrease) in Net Working Capital</t>
  </si>
  <si>
    <t>Unlevered Free Cash Flow to Firm</t>
  </si>
  <si>
    <t>Terminal growth rate</t>
  </si>
  <si>
    <t>Discount factor</t>
  </si>
  <si>
    <t>Present value of free cash flow</t>
  </si>
  <si>
    <t>Terminal value</t>
  </si>
  <si>
    <t>Present value of perpetuity</t>
  </si>
  <si>
    <t>EV</t>
  </si>
  <si>
    <t>No. of shares in million</t>
  </si>
  <si>
    <t>Price per share</t>
  </si>
  <si>
    <t>Sensitivity Analysis</t>
  </si>
  <si>
    <t>Terminal Growth Rate</t>
  </si>
  <si>
    <t>Value per Share</t>
  </si>
  <si>
    <t>WACC</t>
  </si>
  <si>
    <t>YOY Growth Rate</t>
  </si>
  <si>
    <t>Note: *All equity merger so no interest expense; INR = Indian rupee. US$1 = INR 76.3866 on April 1, 2020; SG&amp;A = selling, general, and administrative; EBITDA = earnings before interest, taxes, depreciation, and amortization; EV = enterprise value; PBT = profits before tax; YOY = year over year; WACC = weighted average cost of capital.</t>
  </si>
  <si>
    <t>Assumptions: Standalone DCF Valuation of GlaxoSmithKline Consumer Healthcare (without merger)</t>
  </si>
  <si>
    <t>Particulars</t>
  </si>
  <si>
    <t>Values in %</t>
  </si>
  <si>
    <r>
      <t>Growth rate</t>
    </r>
    <r>
      <rPr>
        <vertAlign val="superscript"/>
        <sz val="10"/>
        <color theme="1"/>
        <rFont val="Arial"/>
        <family val="2"/>
      </rPr>
      <t>a</t>
    </r>
  </si>
  <si>
    <r>
      <t>Terminal growth rate</t>
    </r>
    <r>
      <rPr>
        <vertAlign val="superscript"/>
        <sz val="10"/>
        <color theme="1"/>
        <rFont val="Arial"/>
        <family val="2"/>
      </rPr>
      <t>b</t>
    </r>
  </si>
  <si>
    <r>
      <t>Cost of capital (WACC)</t>
    </r>
    <r>
      <rPr>
        <vertAlign val="superscript"/>
        <sz val="10"/>
        <color theme="1"/>
        <rFont val="Arial"/>
        <family val="2"/>
      </rPr>
      <t>c</t>
    </r>
  </si>
  <si>
    <t>Note: DCF = discounted cash flow; CER = constant exchange rate; WACC = weighted average cost of capital.</t>
  </si>
  <si>
    <t xml:space="preserve">Source: </t>
  </si>
  <si>
    <r>
      <rPr>
        <vertAlign val="superscript"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 Proforma CER growth rate of consumer healthcare division as per GSK annual report 2020</t>
    </r>
  </si>
  <si>
    <r>
      <t xml:space="preserve">b </t>
    </r>
    <r>
      <rPr>
        <sz val="10"/>
        <color theme="1"/>
        <rFont val="Arial"/>
        <family val="2"/>
      </rPr>
      <t>Terminal growth rate of consumer healthcare division as per GSK annual report 2020</t>
    </r>
  </si>
  <si>
    <r>
      <t xml:space="preserve">c </t>
    </r>
    <r>
      <rPr>
        <sz val="10"/>
        <color theme="1"/>
        <rFont val="Arial"/>
        <family val="2"/>
      </rPr>
      <t>Discount rate of consumer healthcare division as per GSK annual report 2020</t>
    </r>
  </si>
  <si>
    <t xml:space="preserve">	Relative Valuation Based on Target Year 2019–20 (in INR millions) </t>
  </si>
  <si>
    <t>Company name</t>
  </si>
  <si>
    <t>Enterprise value</t>
  </si>
  <si>
    <t>EV/EBITDA</t>
  </si>
  <si>
    <t>EV/Sales</t>
  </si>
  <si>
    <t>Market capitalization</t>
  </si>
  <si>
    <t>Total debt</t>
  </si>
  <si>
    <t>Cash</t>
  </si>
  <si>
    <t>Total revenue </t>
  </si>
  <si>
    <t>EBITDA </t>
  </si>
  <si>
    <t>GlaxoSmithKline Consumer Healthcare</t>
  </si>
  <si>
    <t>Nestle</t>
  </si>
  <si>
    <t>Abbott</t>
  </si>
  <si>
    <t>Mondelēz*</t>
  </si>
  <si>
    <t>GSKCH Variables in INR millions</t>
  </si>
  <si>
    <t>2019 Sales</t>
  </si>
  <si>
    <t>2019 EBITDA</t>
  </si>
  <si>
    <t>2019 end-of-year cash</t>
  </si>
  <si>
    <t>2019 end-of-year debt</t>
  </si>
  <si>
    <t>Number of common shares</t>
  </si>
  <si>
    <t>To calculate</t>
  </si>
  <si>
    <t>GSK Value per Share</t>
  </si>
  <si>
    <t>Multiple</t>
  </si>
  <si>
    <t>EV/EBITDA with synergies</t>
  </si>
  <si>
    <t>DCF with synergies</t>
  </si>
  <si>
    <t>DCF standalone</t>
  </si>
  <si>
    <t>Minimum</t>
  </si>
  <si>
    <t>Median</t>
  </si>
  <si>
    <t>Maximum</t>
  </si>
  <si>
    <t>FORECAST PERIOD</t>
  </si>
  <si>
    <t>Average SG&amp;A EXP</t>
  </si>
  <si>
    <t>AVERAGE DEP</t>
  </si>
  <si>
    <t>Average CAPEX (% of revenue)</t>
  </si>
  <si>
    <t>Average NWC (% of revenue)</t>
  </si>
  <si>
    <t>GROWTH RATE (CAGR)</t>
  </si>
  <si>
    <t>EBIT MARGIN</t>
  </si>
  <si>
    <t>YoY Growth</t>
  </si>
  <si>
    <t>Average</t>
  </si>
  <si>
    <t>EBITDA with synergies (2024)</t>
  </si>
  <si>
    <t>WITH SYNERGY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</si>
</sst>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\€\ #,##0.0_);\(\€\ #,##0.0\);@_)"/>
    <numFmt numFmtId="167" formatCode="0.0%"/>
    <numFmt numFmtId="168" formatCode="_(* #,##0_);_(* \(#,##0\);_(* &quot;-&quot;??_);_(@_)"/>
    <numFmt numFmtId="169" formatCode="0.000"/>
    <numFmt numFmtId="170" formatCode="0.000000"/>
    <numFmt numFmtId="171" formatCode="_(* #,##0.0%_);_(* \(#,##0.0%\);_(* &quot;--- %&quot;_);_(* @_%_)"/>
    <numFmt numFmtId="172" formatCode="_ [$€-2]\ * #,##0.00_ ;_ [$€-2]\ * \-#,##0.00_ ;_ [$€-2]\ * &quot;-&quot;??_ ;_ @_ "/>
    <numFmt numFmtId="173" formatCode="_(\ #,##0.00_);_(\ \(#,##0.00\)_);_(\ &quot; - &quot;_)"/>
    <numFmt numFmtId="174" formatCode="0.0\x"/>
    <numFmt numFmtId="175" formatCode="_ [$₹-4009]\ * #,##0.00_ ;_ [$₹-4009]\ * \-#,##0.00_ ;_ [$₹-4009]\ * &quot;-&quot;??_ ;_ @_ "/>
    <numFmt numFmtId="176" formatCode="#,##0.0"/>
    <numFmt numFmtId="177" formatCode="_-[$$-409]* #,##0.00_ ;_-[$$-409]* \-#,##0.00\ ;_-[$$-409]* &quot;-&quot;??_ ;_-@_ "/>
    <numFmt numFmtId="178" formatCode="_ [$₹-4009]\ * #,##0_ ;_ [$₹-4009]\ * \-#,##0_ ;_ [$₹-4009]\ * &quot;-&quot;??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MS Sans Serif"/>
      <family val="2"/>
    </font>
    <font>
      <b/>
      <i/>
      <sz val="10"/>
      <color theme="0"/>
      <name val="Arial"/>
      <family val="2"/>
    </font>
    <font>
      <sz val="9"/>
      <color indexed="0"/>
      <name val="Helvetica"/>
      <family val="2"/>
    </font>
    <font>
      <sz val="9"/>
      <name val="Arial"/>
      <family val="2"/>
    </font>
    <font>
      <b/>
      <sz val="10"/>
      <name val="Arial"/>
      <family val="2"/>
    </font>
    <font>
      <sz val="9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4" tint="-0.249977111117893"/>
      <name val="Arial"/>
      <family val="2"/>
    </font>
    <font>
      <b/>
      <i/>
      <sz val="10"/>
      <name val="Arial"/>
      <family val="2"/>
    </font>
    <font>
      <b/>
      <sz val="8.5"/>
      <name val="Arial"/>
      <family val="2"/>
    </font>
    <font>
      <b/>
      <i/>
      <sz val="8.5"/>
      <name val="Arial"/>
      <family val="2"/>
    </font>
    <font>
      <sz val="8.5"/>
      <color theme="1"/>
      <name val="Arial"/>
      <family val="2"/>
    </font>
    <font>
      <sz val="8.5"/>
      <name val="Arial"/>
      <family val="2"/>
    </font>
    <font>
      <u val="singleAccounting"/>
      <sz val="10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B0F0"/>
      <name val="Arial"/>
      <family val="2"/>
    </font>
    <font>
      <b/>
      <i/>
      <sz val="10"/>
      <color theme="1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34638"/>
        <bgColor indexed="64"/>
      </patternFill>
    </fill>
    <fill>
      <patternFill patternType="solid">
        <fgColor rgb="FFC5B78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4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9" fillId="0" borderId="0" applyFill="0" applyBorder="0" applyProtection="0">
      <protection locked="0"/>
    </xf>
    <xf numFmtId="166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4" fillId="0" borderId="0" applyFont="0" applyFill="0" applyBorder="0" applyAlignment="0" applyProtection="0">
      <alignment horizontal="right"/>
    </xf>
    <xf numFmtId="44" fontId="1" fillId="0" borderId="0" applyFont="0" applyFill="0" applyBorder="0" applyAlignment="0" applyProtection="0"/>
  </cellStyleXfs>
  <cellXfs count="211">
    <xf numFmtId="0" fontId="0" fillId="0" borderId="0" xfId="0"/>
    <xf numFmtId="165" fontId="4" fillId="2" borderId="1" xfId="2" applyNumberFormat="1" applyFont="1" applyFill="1" applyBorder="1" applyAlignment="1" applyProtection="1">
      <alignment vertical="center"/>
    </xf>
    <xf numFmtId="165" fontId="6" fillId="2" borderId="1" xfId="3" applyNumberFormat="1" applyFont="1" applyFill="1" applyBorder="1"/>
    <xf numFmtId="165" fontId="6" fillId="0" borderId="0" xfId="3" applyNumberFormat="1" applyFont="1"/>
    <xf numFmtId="165" fontId="8" fillId="0" borderId="0" xfId="3" applyNumberFormat="1" applyFont="1"/>
    <xf numFmtId="165" fontId="7" fillId="0" borderId="0" xfId="4" applyNumberFormat="1" applyFont="1" applyProtection="1"/>
    <xf numFmtId="165" fontId="7" fillId="0" borderId="0" xfId="3" applyNumberFormat="1" applyFont="1"/>
    <xf numFmtId="165" fontId="9" fillId="0" borderId="0" xfId="3" applyNumberFormat="1" applyFont="1"/>
    <xf numFmtId="1" fontId="7" fillId="0" borderId="0" xfId="3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5" fontId="13" fillId="0" borderId="0" xfId="3" applyNumberFormat="1" applyFont="1" applyAlignment="1">
      <alignment horizontal="left"/>
    </xf>
    <xf numFmtId="167" fontId="13" fillId="0" borderId="0" xfId="1" applyNumberFormat="1" applyFont="1" applyProtection="1"/>
    <xf numFmtId="9" fontId="11" fillId="0" borderId="0" xfId="1" applyFont="1" applyFill="1" applyBorder="1" applyAlignment="1" applyProtection="1">
      <alignment horizontal="center"/>
    </xf>
    <xf numFmtId="167" fontId="9" fillId="0" borderId="0" xfId="1" applyNumberFormat="1" applyFont="1" applyProtection="1"/>
    <xf numFmtId="164" fontId="15" fillId="0" borderId="0" xfId="0" applyNumberFormat="1" applyFont="1" applyAlignment="1">
      <alignment horizontal="center"/>
    </xf>
    <xf numFmtId="164" fontId="9" fillId="0" borderId="0" xfId="1" applyNumberFormat="1" applyFont="1" applyFill="1" applyBorder="1" applyAlignment="1" applyProtection="1">
      <alignment horizontal="right"/>
    </xf>
    <xf numFmtId="2" fontId="13" fillId="0" borderId="0" xfId="1" applyNumberFormat="1" applyFont="1" applyFill="1" applyBorder="1" applyAlignment="1" applyProtection="1">
      <alignment horizontal="right"/>
    </xf>
    <xf numFmtId="164" fontId="13" fillId="0" borderId="0" xfId="1" applyNumberFormat="1" applyFont="1" applyFill="1" applyBorder="1" applyAlignment="1" applyProtection="1">
      <alignment horizontal="right"/>
    </xf>
    <xf numFmtId="9" fontId="16" fillId="0" borderId="0" xfId="1" applyFont="1" applyFill="1" applyBorder="1" applyAlignment="1" applyProtection="1">
      <alignment horizontal="right"/>
    </xf>
    <xf numFmtId="165" fontId="7" fillId="0" borderId="0" xfId="3" applyNumberFormat="1" applyFont="1" applyAlignment="1">
      <alignment horizontal="left"/>
    </xf>
    <xf numFmtId="168" fontId="11" fillId="0" borderId="0" xfId="0" applyNumberFormat="1" applyFont="1" applyAlignment="1">
      <alignment horizontal="center"/>
    </xf>
    <xf numFmtId="9" fontId="13" fillId="0" borderId="0" xfId="1" applyFont="1" applyProtection="1"/>
    <xf numFmtId="165" fontId="9" fillId="0" borderId="0" xfId="3" applyNumberFormat="1" applyFont="1" applyAlignment="1">
      <alignment horizontal="left"/>
    </xf>
    <xf numFmtId="164" fontId="9" fillId="0" borderId="0" xfId="3" applyNumberFormat="1" applyFont="1"/>
    <xf numFmtId="167" fontId="16" fillId="0" borderId="0" xfId="1" applyNumberFormat="1" applyFont="1" applyProtection="1"/>
    <xf numFmtId="164" fontId="9" fillId="0" borderId="0" xfId="1" applyNumberFormat="1" applyFont="1" applyProtection="1"/>
    <xf numFmtId="164" fontId="7" fillId="0" borderId="0" xfId="1" applyNumberFormat="1" applyFont="1" applyProtection="1"/>
    <xf numFmtId="167" fontId="14" fillId="0" borderId="0" xfId="1" applyNumberFormat="1" applyFont="1" applyFill="1" applyBorder="1" applyAlignment="1" applyProtection="1">
      <alignment horizontal="center"/>
    </xf>
    <xf numFmtId="164" fontId="7" fillId="0" borderId="0" xfId="3" applyNumberFormat="1" applyFont="1"/>
    <xf numFmtId="4" fontId="9" fillId="0" borderId="0" xfId="3" applyNumberFormat="1" applyFont="1"/>
    <xf numFmtId="9" fontId="9" fillId="0" borderId="0" xfId="1" applyFont="1" applyProtection="1"/>
    <xf numFmtId="4" fontId="15" fillId="0" borderId="0" xfId="0" applyNumberFormat="1" applyFont="1"/>
    <xf numFmtId="4" fontId="14" fillId="0" borderId="0" xfId="0" applyNumberFormat="1" applyFont="1"/>
    <xf numFmtId="4" fontId="7" fillId="0" borderId="0" xfId="3" applyNumberFormat="1" applyFont="1"/>
    <xf numFmtId="167" fontId="7" fillId="0" borderId="0" xfId="1" applyNumberFormat="1" applyFont="1" applyBorder="1" applyProtection="1"/>
    <xf numFmtId="10" fontId="9" fillId="0" borderId="0" xfId="1" applyNumberFormat="1" applyFont="1" applyFill="1" applyBorder="1" applyAlignment="1" applyProtection="1">
      <alignment horizontal="right"/>
    </xf>
    <xf numFmtId="9" fontId="9" fillId="0" borderId="0" xfId="1" applyFont="1" applyBorder="1" applyProtection="1"/>
    <xf numFmtId="165" fontId="17" fillId="0" borderId="0" xfId="3" applyNumberFormat="1" applyFont="1"/>
    <xf numFmtId="165" fontId="9" fillId="0" borderId="0" xfId="3" applyNumberFormat="1" applyFont="1" applyAlignment="1">
      <alignment horizontal="center"/>
    </xf>
    <xf numFmtId="43" fontId="9" fillId="0" borderId="0" xfId="6" applyFont="1" applyFill="1" applyBorder="1" applyProtection="1"/>
    <xf numFmtId="43" fontId="15" fillId="0" borderId="0" xfId="6" applyFont="1" applyFill="1" applyBorder="1" applyAlignment="1">
      <alignment vertical="center"/>
    </xf>
    <xf numFmtId="170" fontId="9" fillId="0" borderId="0" xfId="3" applyNumberFormat="1" applyFont="1"/>
    <xf numFmtId="170" fontId="7" fillId="0" borderId="0" xfId="3" applyNumberFormat="1" applyFont="1"/>
    <xf numFmtId="4" fontId="7" fillId="3" borderId="0" xfId="3" applyNumberFormat="1" applyFont="1" applyFill="1" applyAlignment="1">
      <alignment horizontal="right"/>
    </xf>
    <xf numFmtId="4" fontId="7" fillId="0" borderId="0" xfId="3" applyNumberFormat="1" applyFont="1" applyAlignment="1">
      <alignment horizontal="right"/>
    </xf>
    <xf numFmtId="4" fontId="18" fillId="0" borderId="0" xfId="3" applyNumberFormat="1" applyFont="1" applyAlignment="1">
      <alignment horizontal="right"/>
    </xf>
    <xf numFmtId="165" fontId="19" fillId="0" borderId="0" xfId="3" applyNumberFormat="1" applyFont="1"/>
    <xf numFmtId="43" fontId="20" fillId="0" borderId="0" xfId="6" applyFont="1" applyFill="1" applyBorder="1" applyAlignment="1">
      <alignment vertical="center"/>
    </xf>
    <xf numFmtId="170" fontId="21" fillId="0" borderId="0" xfId="3" applyNumberFormat="1" applyFont="1"/>
    <xf numFmtId="165" fontId="21" fillId="0" borderId="0" xfId="3" applyNumberFormat="1" applyFont="1"/>
    <xf numFmtId="165" fontId="22" fillId="0" borderId="0" xfId="4" applyNumberFormat="1" applyFont="1" applyFill="1" applyBorder="1" applyAlignment="1" applyProtection="1">
      <alignment horizontal="centerContinuous"/>
    </xf>
    <xf numFmtId="165" fontId="7" fillId="0" borderId="0" xfId="3" applyNumberFormat="1" applyFont="1" applyAlignment="1">
      <alignment horizontal="centerContinuous"/>
    </xf>
    <xf numFmtId="165" fontId="7" fillId="0" borderId="0" xfId="4" applyNumberFormat="1" applyFont="1" applyFill="1" applyBorder="1" applyAlignment="1" applyProtection="1">
      <alignment horizontal="center"/>
    </xf>
    <xf numFmtId="165" fontId="9" fillId="0" borderId="0" xfId="4" applyNumberFormat="1" applyFill="1" applyBorder="1" applyAlignment="1" applyProtection="1">
      <alignment horizontal="center"/>
    </xf>
    <xf numFmtId="4" fontId="7" fillId="0" borderId="0" xfId="3" applyNumberFormat="1" applyFont="1" applyAlignment="1">
      <alignment horizontal="center"/>
    </xf>
    <xf numFmtId="167" fontId="10" fillId="2" borderId="0" xfId="1" applyNumberFormat="1" applyFont="1" applyFill="1" applyBorder="1" applyProtection="1"/>
    <xf numFmtId="165" fontId="9" fillId="0" borderId="0" xfId="3" applyNumberFormat="1" applyFont="1" applyAlignment="1">
      <alignment horizontal="left" wrapText="1"/>
    </xf>
    <xf numFmtId="167" fontId="10" fillId="2" borderId="0" xfId="1" applyNumberFormat="1" applyFont="1" applyFill="1" applyBorder="1" applyAlignment="1" applyProtection="1">
      <alignment horizontal="center"/>
    </xf>
    <xf numFmtId="165" fontId="9" fillId="0" borderId="0" xfId="3" applyNumberFormat="1" applyFont="1" applyAlignment="1">
      <alignment horizontal="centerContinuous"/>
    </xf>
    <xf numFmtId="4" fontId="9" fillId="0" borderId="7" xfId="3" applyNumberFormat="1" applyFont="1" applyBorder="1"/>
    <xf numFmtId="165" fontId="7" fillId="0" borderId="0" xfId="3" applyNumberFormat="1" applyFont="1" applyAlignment="1">
      <alignment horizontal="center" vertical="center" wrapText="1"/>
    </xf>
    <xf numFmtId="167" fontId="10" fillId="0" borderId="0" xfId="1" applyNumberFormat="1" applyFont="1" applyFill="1" applyBorder="1" applyAlignment="1" applyProtection="1">
      <alignment horizontal="center"/>
    </xf>
    <xf numFmtId="167" fontId="9" fillId="0" borderId="0" xfId="1" applyNumberFormat="1" applyFont="1" applyFill="1" applyBorder="1" applyProtection="1"/>
    <xf numFmtId="4" fontId="7" fillId="0" borderId="0" xfId="4" applyNumberFormat="1" applyFont="1" applyFill="1" applyBorder="1" applyAlignment="1" applyProtection="1">
      <alignment horizontal="center"/>
    </xf>
    <xf numFmtId="10" fontId="9" fillId="0" borderId="0" xfId="1" applyNumberFormat="1" applyFont="1" applyFill="1" applyBorder="1" applyProtection="1"/>
    <xf numFmtId="4" fontId="9" fillId="0" borderId="0" xfId="4" applyNumberFormat="1" applyFill="1" applyBorder="1" applyProtection="1"/>
    <xf numFmtId="165" fontId="7" fillId="0" borderId="0" xfId="7" applyNumberFormat="1" applyFont="1" applyFill="1" applyBorder="1" applyAlignment="1" applyProtection="1">
      <alignment horizontal="right" vertical="distributed"/>
    </xf>
    <xf numFmtId="4" fontId="15" fillId="0" borderId="0" xfId="0" applyNumberFormat="1" applyFont="1" applyAlignment="1">
      <alignment horizontal="right"/>
    </xf>
    <xf numFmtId="167" fontId="10" fillId="2" borderId="7" xfId="1" applyNumberFormat="1" applyFont="1" applyFill="1" applyBorder="1" applyAlignment="1" applyProtection="1">
      <alignment horizontal="center"/>
    </xf>
    <xf numFmtId="4" fontId="15" fillId="0" borderId="7" xfId="0" applyNumberFormat="1" applyFont="1" applyBorder="1" applyAlignment="1">
      <alignment horizontal="right"/>
    </xf>
    <xf numFmtId="165" fontId="9" fillId="0" borderId="0" xfId="4" applyNumberFormat="1" applyFill="1" applyBorder="1" applyProtection="1"/>
    <xf numFmtId="169" fontId="9" fillId="0" borderId="0" xfId="4" applyNumberFormat="1" applyFill="1" applyBorder="1" applyProtection="1"/>
    <xf numFmtId="165" fontId="25" fillId="0" borderId="0" xfId="0" applyNumberFormat="1" applyFont="1"/>
    <xf numFmtId="165" fontId="9" fillId="0" borderId="0" xfId="4" applyNumberFormat="1" applyProtection="1"/>
    <xf numFmtId="165" fontId="9" fillId="0" borderId="0" xfId="4" applyNumberFormat="1" applyFill="1" applyProtection="1"/>
    <xf numFmtId="165" fontId="8" fillId="4" borderId="0" xfId="3" applyNumberFormat="1" applyFont="1" applyFill="1"/>
    <xf numFmtId="0" fontId="15" fillId="0" borderId="0" xfId="0" applyFont="1"/>
    <xf numFmtId="0" fontId="11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/>
    </xf>
    <xf numFmtId="0" fontId="11" fillId="0" borderId="0" xfId="0" applyFont="1"/>
    <xf numFmtId="9" fontId="15" fillId="0" borderId="0" xfId="0" applyNumberFormat="1" applyFont="1"/>
    <xf numFmtId="10" fontId="15" fillId="0" borderId="0" xfId="0" applyNumberFormat="1" applyFont="1"/>
    <xf numFmtId="0" fontId="26" fillId="0" borderId="0" xfId="0" applyFont="1"/>
    <xf numFmtId="0" fontId="27" fillId="3" borderId="9" xfId="0" applyFont="1" applyFill="1" applyBorder="1" applyAlignment="1">
      <alignment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" fillId="0" borderId="0" xfId="0" applyFont="1"/>
    <xf numFmtId="172" fontId="0" fillId="0" borderId="0" xfId="0" applyNumberFormat="1"/>
    <xf numFmtId="3" fontId="0" fillId="0" borderId="0" xfId="0" applyNumberFormat="1"/>
    <xf numFmtId="172" fontId="0" fillId="0" borderId="0" xfId="8" applyNumberFormat="1" applyFont="1" applyFill="1"/>
    <xf numFmtId="0" fontId="28" fillId="5" borderId="9" xfId="0" applyFont="1" applyFill="1" applyBorder="1" applyAlignment="1">
      <alignment vertical="center" wrapText="1"/>
    </xf>
    <xf numFmtId="173" fontId="29" fillId="0" borderId="9" xfId="0" applyNumberFormat="1" applyFont="1" applyBorder="1" applyAlignment="1">
      <alignment vertical="center" wrapText="1"/>
    </xf>
    <xf numFmtId="174" fontId="29" fillId="6" borderId="9" xfId="0" applyNumberFormat="1" applyFont="1" applyFill="1" applyBorder="1" applyAlignment="1">
      <alignment vertical="center" wrapText="1"/>
    </xf>
    <xf numFmtId="4" fontId="28" fillId="0" borderId="9" xfId="0" applyNumberFormat="1" applyFont="1" applyBorder="1" applyAlignment="1">
      <alignment vertical="center"/>
    </xf>
    <xf numFmtId="0" fontId="30" fillId="0" borderId="0" xfId="0" applyFont="1"/>
    <xf numFmtId="175" fontId="30" fillId="0" borderId="0" xfId="0" applyNumberFormat="1" applyFont="1"/>
    <xf numFmtId="4" fontId="15" fillId="0" borderId="9" xfId="0" applyNumberFormat="1" applyFont="1" applyBorder="1" applyAlignment="1">
      <alignment vertical="center"/>
    </xf>
    <xf numFmtId="176" fontId="0" fillId="0" borderId="0" xfId="0" applyNumberFormat="1"/>
    <xf numFmtId="177" fontId="0" fillId="0" borderId="0" xfId="0" applyNumberFormat="1"/>
    <xf numFmtId="4" fontId="28" fillId="5" borderId="9" xfId="0" applyNumberFormat="1" applyFont="1" applyFill="1" applyBorder="1" applyAlignment="1">
      <alignment vertical="center" wrapText="1"/>
    </xf>
    <xf numFmtId="0" fontId="15" fillId="0" borderId="9" xfId="0" applyFont="1" applyBorder="1"/>
    <xf numFmtId="164" fontId="15" fillId="0" borderId="9" xfId="0" applyNumberFormat="1" applyFont="1" applyBorder="1" applyAlignment="1">
      <alignment horizontal="center"/>
    </xf>
    <xf numFmtId="4" fontId="28" fillId="0" borderId="9" xfId="0" applyNumberFormat="1" applyFont="1" applyBorder="1" applyAlignment="1">
      <alignment horizontal="right" wrapText="1"/>
    </xf>
    <xf numFmtId="0" fontId="9" fillId="3" borderId="9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178" fontId="9" fillId="0" borderId="9" xfId="6" applyNumberFormat="1" applyFont="1" applyFill="1" applyBorder="1" applyAlignment="1">
      <alignment horizontal="center"/>
    </xf>
    <xf numFmtId="178" fontId="15" fillId="0" borderId="9" xfId="8" applyNumberFormat="1" applyFont="1" applyFill="1" applyBorder="1"/>
    <xf numFmtId="175" fontId="15" fillId="0" borderId="9" xfId="0" applyNumberFormat="1" applyFont="1" applyBorder="1"/>
    <xf numFmtId="0" fontId="11" fillId="3" borderId="9" xfId="0" applyFont="1" applyFill="1" applyBorder="1" applyAlignment="1">
      <alignment horizontal="center"/>
    </xf>
    <xf numFmtId="0" fontId="27" fillId="7" borderId="0" xfId="0" applyFont="1" applyFill="1" applyAlignment="1">
      <alignment vertical="center" wrapText="1"/>
    </xf>
    <xf numFmtId="174" fontId="11" fillId="8" borderId="0" xfId="0" applyNumberFormat="1" applyFont="1" applyFill="1" applyAlignment="1">
      <alignment horizontal="center"/>
    </xf>
    <xf numFmtId="10" fontId="11" fillId="9" borderId="0" xfId="0" applyNumberFormat="1" applyFont="1" applyFill="1" applyAlignment="1">
      <alignment horizontal="center"/>
    </xf>
    <xf numFmtId="168" fontId="11" fillId="9" borderId="0" xfId="0" applyNumberFormat="1" applyFont="1" applyFill="1" applyAlignment="1">
      <alignment horizontal="center"/>
    </xf>
    <xf numFmtId="9" fontId="11" fillId="9" borderId="0" xfId="1" applyFont="1" applyFill="1" applyAlignment="1">
      <alignment horizontal="center"/>
    </xf>
    <xf numFmtId="165" fontId="9" fillId="0" borderId="0" xfId="3" applyNumberFormat="1" applyFont="1" applyAlignment="1">
      <alignment horizontal="left" vertical="top" wrapText="1"/>
    </xf>
    <xf numFmtId="165" fontId="23" fillId="0" borderId="0" xfId="3" applyNumberFormat="1" applyFont="1" applyAlignment="1">
      <alignment horizontal="center" vertical="center"/>
    </xf>
    <xf numFmtId="165" fontId="6" fillId="12" borderId="0" xfId="3" applyNumberFormat="1" applyFont="1" applyFill="1"/>
    <xf numFmtId="165" fontId="7" fillId="12" borderId="0" xfId="4" applyNumberFormat="1" applyFont="1" applyFill="1" applyBorder="1" applyAlignment="1" applyProtection="1">
      <alignment horizontal="center"/>
    </xf>
    <xf numFmtId="9" fontId="17" fillId="9" borderId="0" xfId="1" applyFont="1" applyFill="1" applyProtection="1"/>
    <xf numFmtId="164" fontId="17" fillId="9" borderId="0" xfId="3" applyNumberFormat="1" applyFont="1" applyFill="1"/>
    <xf numFmtId="165" fontId="9" fillId="12" borderId="0" xfId="3" applyNumberFormat="1" applyFont="1" applyFill="1"/>
    <xf numFmtId="4" fontId="32" fillId="9" borderId="0" xfId="0" applyNumberFormat="1" applyFont="1" applyFill="1" applyAlignment="1">
      <alignment wrapText="1"/>
    </xf>
    <xf numFmtId="165" fontId="7" fillId="13" borderId="9" xfId="2" applyNumberFormat="1" applyFont="1" applyFill="1" applyBorder="1" applyAlignment="1" applyProtection="1">
      <alignment horizontal="right"/>
    </xf>
    <xf numFmtId="165" fontId="6" fillId="13" borderId="9" xfId="3" applyNumberFormat="1" applyFont="1" applyFill="1" applyBorder="1"/>
    <xf numFmtId="165" fontId="9" fillId="0" borderId="9" xfId="3" applyNumberFormat="1" applyFont="1" applyBorder="1"/>
    <xf numFmtId="165" fontId="6" fillId="0" borderId="9" xfId="3" applyNumberFormat="1" applyFont="1" applyBorder="1"/>
    <xf numFmtId="1" fontId="7" fillId="0" borderId="9" xfId="3" applyNumberFormat="1" applyFont="1" applyBorder="1" applyAlignment="1">
      <alignment horizontal="center"/>
    </xf>
    <xf numFmtId="1" fontId="7" fillId="0" borderId="9" xfId="3" applyNumberFormat="1" applyFont="1" applyBorder="1"/>
    <xf numFmtId="43" fontId="11" fillId="0" borderId="9" xfId="0" applyNumberFormat="1" applyFont="1" applyBorder="1" applyAlignment="1">
      <alignment horizontal="center"/>
    </xf>
    <xf numFmtId="9" fontId="11" fillId="0" borderId="9" xfId="1" applyFont="1" applyFill="1" applyBorder="1" applyAlignment="1" applyProtection="1">
      <alignment horizontal="center"/>
    </xf>
    <xf numFmtId="2" fontId="13" fillId="0" borderId="9" xfId="1" applyNumberFormat="1" applyFont="1" applyFill="1" applyBorder="1" applyAlignment="1" applyProtection="1">
      <alignment horizontal="right"/>
    </xf>
    <xf numFmtId="168" fontId="11" fillId="0" borderId="9" xfId="0" applyNumberFormat="1" applyFont="1" applyBorder="1" applyAlignment="1">
      <alignment horizontal="center"/>
    </xf>
    <xf numFmtId="168" fontId="15" fillId="0" borderId="9" xfId="0" applyNumberFormat="1" applyFont="1" applyBorder="1" applyAlignment="1">
      <alignment horizontal="center"/>
    </xf>
    <xf numFmtId="10" fontId="31" fillId="0" borderId="9" xfId="0" applyNumberFormat="1" applyFont="1" applyBorder="1" applyAlignment="1">
      <alignment horizontal="center"/>
    </xf>
    <xf numFmtId="165" fontId="7" fillId="0" borderId="9" xfId="3" applyNumberFormat="1" applyFont="1" applyBorder="1"/>
    <xf numFmtId="167" fontId="31" fillId="0" borderId="9" xfId="1" applyNumberFormat="1" applyFont="1" applyBorder="1" applyAlignment="1">
      <alignment horizontal="center"/>
    </xf>
    <xf numFmtId="165" fontId="7" fillId="0" borderId="9" xfId="5" applyNumberFormat="1" applyFont="1" applyFill="1" applyBorder="1" applyProtection="1"/>
    <xf numFmtId="165" fontId="13" fillId="0" borderId="9" xfId="2" applyNumberFormat="1" applyFont="1" applyFill="1" applyBorder="1" applyAlignment="1" applyProtection="1">
      <alignment horizontal="right"/>
    </xf>
    <xf numFmtId="165" fontId="7" fillId="10" borderId="9" xfId="3" applyNumberFormat="1" applyFont="1" applyFill="1" applyBorder="1"/>
    <xf numFmtId="169" fontId="7" fillId="12" borderId="0" xfId="3" applyNumberFormat="1" applyFont="1" applyFill="1" applyAlignment="1">
      <alignment horizontal="center"/>
    </xf>
    <xf numFmtId="168" fontId="11" fillId="12" borderId="0" xfId="0" applyNumberFormat="1" applyFont="1" applyFill="1" applyAlignment="1">
      <alignment horizontal="center"/>
    </xf>
    <xf numFmtId="167" fontId="10" fillId="12" borderId="0" xfId="1" applyNumberFormat="1" applyFont="1" applyFill="1" applyBorder="1" applyProtection="1"/>
    <xf numFmtId="9" fontId="11" fillId="9" borderId="0" xfId="0" applyNumberFormat="1" applyFont="1" applyFill="1" applyAlignment="1">
      <alignment horizontal="center"/>
    </xf>
    <xf numFmtId="164" fontId="32" fillId="9" borderId="0" xfId="0" applyNumberFormat="1" applyFont="1" applyFill="1" applyAlignment="1">
      <alignment horizontal="center"/>
    </xf>
    <xf numFmtId="165" fontId="7" fillId="9" borderId="0" xfId="3" applyNumberFormat="1" applyFont="1" applyFill="1"/>
    <xf numFmtId="164" fontId="11" fillId="9" borderId="0" xfId="0" applyNumberFormat="1" applyFont="1" applyFill="1" applyAlignment="1">
      <alignment horizontal="center"/>
    </xf>
    <xf numFmtId="168" fontId="11" fillId="9" borderId="9" xfId="0" applyNumberFormat="1" applyFont="1" applyFill="1" applyBorder="1" applyAlignment="1">
      <alignment horizontal="center"/>
    </xf>
    <xf numFmtId="165" fontId="7" fillId="9" borderId="9" xfId="3" applyNumberFormat="1" applyFont="1" applyFill="1" applyBorder="1"/>
    <xf numFmtId="0" fontId="0" fillId="9" borderId="0" xfId="0" applyFill="1"/>
    <xf numFmtId="165" fontId="7" fillId="14" borderId="9" xfId="3" applyNumberFormat="1" applyFont="1" applyFill="1" applyBorder="1"/>
    <xf numFmtId="9" fontId="11" fillId="0" borderId="0" xfId="1" applyFont="1" applyAlignment="1">
      <alignment horizontal="center"/>
    </xf>
    <xf numFmtId="10" fontId="11" fillId="9" borderId="0" xfId="1" applyNumberFormat="1" applyFont="1" applyFill="1" applyAlignment="1">
      <alignment horizontal="center"/>
    </xf>
    <xf numFmtId="9" fontId="10" fillId="14" borderId="9" xfId="1" applyFont="1" applyFill="1" applyBorder="1" applyAlignment="1" applyProtection="1">
      <alignment horizontal="center"/>
    </xf>
    <xf numFmtId="165" fontId="33" fillId="14" borderId="9" xfId="3" applyNumberFormat="1" applyFont="1" applyFill="1" applyBorder="1"/>
    <xf numFmtId="2" fontId="34" fillId="14" borderId="9" xfId="1" applyNumberFormat="1" applyFont="1" applyFill="1" applyBorder="1" applyAlignment="1" applyProtection="1">
      <alignment horizontal="right"/>
    </xf>
    <xf numFmtId="168" fontId="10" fillId="14" borderId="9" xfId="0" applyNumberFormat="1" applyFont="1" applyFill="1" applyBorder="1" applyAlignment="1">
      <alignment horizontal="center"/>
    </xf>
    <xf numFmtId="168" fontId="33" fillId="14" borderId="9" xfId="0" applyNumberFormat="1" applyFont="1" applyFill="1" applyBorder="1" applyAlignment="1">
      <alignment horizontal="center"/>
    </xf>
    <xf numFmtId="10" fontId="33" fillId="14" borderId="9" xfId="0" applyNumberFormat="1" applyFont="1" applyFill="1" applyBorder="1" applyAlignment="1">
      <alignment horizontal="center"/>
    </xf>
    <xf numFmtId="167" fontId="33" fillId="14" borderId="9" xfId="1" applyNumberFormat="1" applyFont="1" applyFill="1" applyBorder="1" applyAlignment="1">
      <alignment horizontal="center"/>
    </xf>
    <xf numFmtId="165" fontId="10" fillId="14" borderId="9" xfId="3" applyNumberFormat="1" applyFont="1" applyFill="1" applyBorder="1"/>
    <xf numFmtId="165" fontId="10" fillId="14" borderId="9" xfId="5" applyNumberFormat="1" applyFont="1" applyFill="1" applyBorder="1" applyProtection="1"/>
    <xf numFmtId="165" fontId="6" fillId="14" borderId="9" xfId="3" applyNumberFormat="1" applyFont="1" applyFill="1" applyBorder="1"/>
    <xf numFmtId="167" fontId="34" fillId="0" borderId="0" xfId="1" applyNumberFormat="1" applyFont="1" applyProtection="1"/>
    <xf numFmtId="9" fontId="10" fillId="0" borderId="0" xfId="1" applyFont="1" applyFill="1" applyBorder="1" applyAlignment="1" applyProtection="1">
      <alignment horizontal="center"/>
    </xf>
    <xf numFmtId="164" fontId="33" fillId="0" borderId="0" xfId="1" applyNumberFormat="1" applyFont="1" applyFill="1" applyBorder="1" applyAlignment="1" applyProtection="1">
      <alignment horizontal="right"/>
    </xf>
    <xf numFmtId="2" fontId="34" fillId="0" borderId="0" xfId="1" applyNumberFormat="1" applyFont="1" applyFill="1" applyBorder="1" applyAlignment="1" applyProtection="1">
      <alignment horizontal="right"/>
    </xf>
    <xf numFmtId="9" fontId="34" fillId="0" borderId="0" xfId="1" applyFont="1" applyFill="1" applyBorder="1" applyAlignment="1" applyProtection="1">
      <alignment horizontal="right"/>
    </xf>
    <xf numFmtId="164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164" fontId="32" fillId="9" borderId="0" xfId="0" applyNumberFormat="1" applyFont="1" applyFill="1" applyAlignment="1">
      <alignment horizontal="center" wrapText="1"/>
    </xf>
    <xf numFmtId="4" fontId="7" fillId="0" borderId="11" xfId="3" applyNumberFormat="1" applyFont="1" applyBorder="1" applyAlignment="1">
      <alignment horizontal="center"/>
    </xf>
    <xf numFmtId="167" fontId="10" fillId="2" borderId="12" xfId="1" applyNumberFormat="1" applyFont="1" applyFill="1" applyBorder="1" applyProtection="1"/>
    <xf numFmtId="167" fontId="10" fillId="2" borderId="13" xfId="1" applyNumberFormat="1" applyFont="1" applyFill="1" applyBorder="1" applyProtection="1"/>
    <xf numFmtId="167" fontId="10" fillId="2" borderId="14" xfId="1" applyNumberFormat="1" applyFont="1" applyFill="1" applyBorder="1" applyAlignment="1" applyProtection="1">
      <alignment horizontal="center"/>
    </xf>
    <xf numFmtId="0" fontId="0" fillId="0" borderId="15" xfId="0" applyBorder="1"/>
    <xf numFmtId="167" fontId="10" fillId="13" borderId="16" xfId="1" applyNumberFormat="1" applyFont="1" applyFill="1" applyBorder="1" applyAlignment="1" applyProtection="1">
      <alignment horizontal="center"/>
    </xf>
    <xf numFmtId="4" fontId="9" fillId="0" borderId="17" xfId="3" applyNumberFormat="1" applyFont="1" applyBorder="1"/>
    <xf numFmtId="0" fontId="0" fillId="0" borderId="17" xfId="0" applyBorder="1"/>
    <xf numFmtId="0" fontId="0" fillId="0" borderId="18" xfId="0" applyBorder="1"/>
    <xf numFmtId="4" fontId="7" fillId="0" borderId="11" xfId="4" applyNumberFormat="1" applyFont="1" applyFill="1" applyBorder="1" applyAlignment="1" applyProtection="1">
      <alignment horizontal="center"/>
    </xf>
    <xf numFmtId="167" fontId="10" fillId="2" borderId="16" xfId="1" applyNumberFormat="1" applyFont="1" applyFill="1" applyBorder="1" applyAlignment="1" applyProtection="1">
      <alignment horizontal="center"/>
    </xf>
    <xf numFmtId="174" fontId="9" fillId="0" borderId="9" xfId="0" applyNumberFormat="1" applyFont="1" applyBorder="1" applyAlignment="1">
      <alignment horizontal="left"/>
    </xf>
    <xf numFmtId="43" fontId="9" fillId="0" borderId="9" xfId="0" applyNumberFormat="1" applyFont="1" applyBorder="1" applyAlignment="1">
      <alignment horizontal="left"/>
    </xf>
    <xf numFmtId="0" fontId="15" fillId="0" borderId="5" xfId="0" applyFont="1" applyBorder="1"/>
    <xf numFmtId="43" fontId="0" fillId="0" borderId="0" xfId="0" applyNumberFormat="1"/>
    <xf numFmtId="0" fontId="2" fillId="15" borderId="0" xfId="0" applyFont="1" applyFill="1"/>
    <xf numFmtId="174" fontId="0" fillId="6" borderId="0" xfId="0" applyNumberFormat="1" applyFill="1"/>
    <xf numFmtId="0" fontId="10" fillId="2" borderId="0" xfId="0" applyFont="1" applyFill="1" applyAlignment="1">
      <alignment horizontal="center" vertical="center"/>
    </xf>
    <xf numFmtId="165" fontId="7" fillId="11" borderId="9" xfId="3" applyNumberFormat="1" applyFont="1" applyFill="1" applyBorder="1" applyAlignment="1">
      <alignment horizontal="center"/>
    </xf>
    <xf numFmtId="165" fontId="7" fillId="11" borderId="0" xfId="4" applyNumberFormat="1" applyFont="1" applyFill="1" applyBorder="1" applyAlignment="1" applyProtection="1">
      <alignment horizontal="center"/>
    </xf>
    <xf numFmtId="165" fontId="7" fillId="3" borderId="2" xfId="3" applyNumberFormat="1" applyFont="1" applyFill="1" applyBorder="1" applyAlignment="1">
      <alignment horizontal="center" vertical="center"/>
    </xf>
    <xf numFmtId="165" fontId="7" fillId="3" borderId="5" xfId="3" applyNumberFormat="1" applyFont="1" applyFill="1" applyBorder="1" applyAlignment="1">
      <alignment horizontal="center" vertical="center"/>
    </xf>
    <xf numFmtId="165" fontId="7" fillId="3" borderId="8" xfId="3" applyNumberFormat="1" applyFont="1" applyFill="1" applyBorder="1" applyAlignment="1">
      <alignment horizontal="center" vertical="center"/>
    </xf>
    <xf numFmtId="169" fontId="7" fillId="3" borderId="3" xfId="3" applyNumberFormat="1" applyFont="1" applyFill="1" applyBorder="1" applyAlignment="1">
      <alignment horizontal="center"/>
    </xf>
    <xf numFmtId="169" fontId="7" fillId="3" borderId="4" xfId="3" applyNumberFormat="1" applyFont="1" applyFill="1" applyBorder="1" applyAlignment="1">
      <alignment horizontal="center"/>
    </xf>
    <xf numFmtId="168" fontId="11" fillId="3" borderId="6" xfId="0" applyNumberFormat="1" applyFont="1" applyFill="1" applyBorder="1" applyAlignment="1">
      <alignment horizontal="center"/>
    </xf>
    <xf numFmtId="168" fontId="11" fillId="3" borderId="7" xfId="0" applyNumberFormat="1" applyFont="1" applyFill="1" applyBorder="1" applyAlignment="1">
      <alignment horizontal="center"/>
    </xf>
    <xf numFmtId="165" fontId="9" fillId="0" borderId="0" xfId="3" applyNumberFormat="1" applyFont="1" applyAlignment="1">
      <alignment horizontal="left" vertical="top" wrapText="1"/>
    </xf>
    <xf numFmtId="165" fontId="23" fillId="0" borderId="0" xfId="3" applyNumberFormat="1" applyFont="1" applyAlignment="1">
      <alignment horizontal="center" vertical="center"/>
    </xf>
    <xf numFmtId="165" fontId="7" fillId="3" borderId="2" xfId="3" applyNumberFormat="1" applyFont="1" applyFill="1" applyBorder="1" applyAlignment="1">
      <alignment horizontal="center" vertical="center" wrapText="1"/>
    </xf>
    <xf numFmtId="165" fontId="7" fillId="3" borderId="5" xfId="3" applyNumberFormat="1" applyFont="1" applyFill="1" applyBorder="1" applyAlignment="1">
      <alignment horizontal="center" vertical="center" wrapText="1"/>
    </xf>
    <xf numFmtId="165" fontId="7" fillId="3" borderId="8" xfId="3" applyNumberFormat="1" applyFont="1" applyFill="1" applyBorder="1" applyAlignment="1">
      <alignment horizontal="center" vertical="center" wrapText="1"/>
    </xf>
    <xf numFmtId="165" fontId="7" fillId="3" borderId="10" xfId="3" applyNumberFormat="1" applyFont="1" applyFill="1" applyBorder="1" applyAlignment="1">
      <alignment horizontal="center" vertical="center"/>
    </xf>
    <xf numFmtId="165" fontId="7" fillId="3" borderId="6" xfId="3" applyNumberFormat="1" applyFont="1" applyFill="1" applyBorder="1" applyAlignment="1">
      <alignment horizontal="center" vertical="center"/>
    </xf>
    <xf numFmtId="168" fontId="11" fillId="3" borderId="10" xfId="0" applyNumberFormat="1" applyFont="1" applyFill="1" applyBorder="1" applyAlignment="1">
      <alignment horizontal="center"/>
    </xf>
    <xf numFmtId="168" fontId="11" fillId="3" borderId="0" xfId="0" applyNumberFormat="1" applyFont="1" applyFill="1" applyAlignment="1">
      <alignment horizontal="center"/>
    </xf>
    <xf numFmtId="165" fontId="7" fillId="3" borderId="10" xfId="3" applyNumberFormat="1" applyFont="1" applyFill="1" applyBorder="1" applyAlignment="1">
      <alignment horizontal="center" vertical="center" wrapText="1"/>
    </xf>
    <xf numFmtId="165" fontId="7" fillId="3" borderId="6" xfId="3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3" borderId="9" xfId="0" applyFont="1" applyFill="1" applyBorder="1" applyAlignment="1">
      <alignment horizontal="left"/>
    </xf>
  </cellXfs>
  <cellStyles count="9">
    <cellStyle name="_x000a_386grabber=M" xfId="2" xr:uid="{00000000-0005-0000-0000-000000000000}"/>
    <cellStyle name="AFE" xfId="4" xr:uid="{00000000-0005-0000-0000-000001000000}"/>
    <cellStyle name="Comma 2" xfId="6" xr:uid="{00000000-0005-0000-0000-000002000000}"/>
    <cellStyle name="Currency 2" xfId="8" xr:uid="{00000000-0005-0000-0000-000003000000}"/>
    <cellStyle name="Euro" xfId="5" xr:uid="{00000000-0005-0000-0000-000004000000}"/>
    <cellStyle name="Normal" xfId="0" builtinId="0"/>
    <cellStyle name="Normal_Ch01 Pics v2.2" xfId="3" xr:uid="{00000000-0005-0000-0000-000006000000}"/>
    <cellStyle name="Pctg" xfId="7" xr:uid="{00000000-0005-0000-0000-000007000000}"/>
    <cellStyle name="Percent" xfId="1" builtinId="5"/>
  </cellStyles>
  <dxfs count="0"/>
  <tableStyles count="0" defaultTableStyle="TableStyleMedium2" defaultPivotStyle="PivotStyleLight16"/>
  <colors>
    <mruColors>
      <color rgb="FF0050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0</xdr:row>
      <xdr:rowOff>137160</xdr:rowOff>
    </xdr:from>
    <xdr:to>
      <xdr:col>20</xdr:col>
      <xdr:colOff>533400</xdr:colOff>
      <xdr:row>59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99A479-D198-D0B6-C4E8-7EF23B9B89E4}"/>
            </a:ext>
          </a:extLst>
        </xdr:cNvPr>
        <xdr:cNvSpPr/>
      </xdr:nvSpPr>
      <xdr:spPr>
        <a:xfrm>
          <a:off x="396240" y="137160"/>
          <a:ext cx="12329160" cy="107213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 u="sng"/>
            <a:t>1. Strategic Context</a:t>
          </a:r>
        </a:p>
        <a:p>
          <a:r>
            <a:rPr lang="en-IN"/>
            <a:t>By 2018–19, HUL was India’s largest FMCG player but heavily skewed toward </a:t>
          </a:r>
          <a:r>
            <a:rPr lang="en-IN" b="1"/>
            <a:t>Home Care</a:t>
          </a:r>
          <a:r>
            <a:rPr lang="en-IN"/>
            <a:t> and </a:t>
          </a:r>
          <a:r>
            <a:rPr lang="en-IN" b="1"/>
            <a:t>Beauty &amp; Personal Care (BPC)</a:t>
          </a:r>
          <a:r>
            <a:rPr lang="en-IN"/>
            <a:t> segments, which together made up nearly </a:t>
          </a:r>
          <a:r>
            <a:rPr lang="en-IN" b="1"/>
            <a:t>80% of its revenue</a:t>
          </a:r>
          <a:r>
            <a:rPr lang="en-IN"/>
            <a:t> (Exhibit 4).</a:t>
          </a:r>
        </a:p>
        <a:p>
          <a:r>
            <a:rPr lang="en-IN"/>
            <a:t>The</a:t>
          </a:r>
          <a:r>
            <a:rPr lang="en-IN" baseline="0"/>
            <a:t> </a:t>
          </a:r>
          <a:r>
            <a:rPr lang="en-IN" b="1"/>
            <a:t>(F&amp;R)</a:t>
          </a:r>
          <a:r>
            <a:rPr lang="en-IN"/>
            <a:t> segment — which included beverages and nutrition — contributed only </a:t>
          </a:r>
          <a:r>
            <a:rPr lang="en-IN" b="1"/>
            <a:t>19%</a:t>
          </a:r>
          <a:r>
            <a:rPr lang="en-IN"/>
            <a:t> of revenue.</a:t>
          </a:r>
          <a:br>
            <a:rPr lang="en-IN"/>
          </a:br>
          <a:r>
            <a:rPr lang="en-IN"/>
            <a:t>This imbalance limited HUL’s exposure to the rapidly growing </a:t>
          </a:r>
          <a:r>
            <a:rPr lang="en-IN" b="1"/>
            <a:t>health and wellness</a:t>
          </a:r>
          <a:r>
            <a:rPr lang="en-IN"/>
            <a:t> space, which was valued at </a:t>
          </a:r>
          <a:r>
            <a:rPr lang="en-IN" b="1"/>
            <a:t>$10.3 billion in 2020</a:t>
          </a:r>
          <a:r>
            <a:rPr lang="en-IN"/>
            <a:t> and projected to </a:t>
          </a:r>
          <a:r>
            <a:rPr lang="en-IN" b="1"/>
            <a:t>triple by 2026</a:t>
          </a:r>
          <a:r>
            <a:rPr lang="en-IN" b="0"/>
            <a:t>.</a:t>
          </a:r>
          <a:endParaRPr lang="en-IN"/>
        </a:p>
        <a:p>
          <a:r>
            <a:rPr lang="en-IN"/>
            <a:t>The acquisition of GSKCH was therefore a </a:t>
          </a:r>
          <a:r>
            <a:rPr lang="en-IN" b="1"/>
            <a:t>strategic repositioning</a:t>
          </a:r>
          <a:r>
            <a:rPr lang="en-IN"/>
            <a:t> — from a mass FMCG player to a holistic nutrition and wellness company.</a:t>
          </a:r>
        </a:p>
        <a:p>
          <a:br>
            <a:rPr lang="en-IN"/>
          </a:br>
          <a:r>
            <a:rPr lang="en-IN" b="1" u="sng"/>
            <a:t>2. Strategic Significance and Motivations</a:t>
          </a:r>
        </a:p>
        <a:p>
          <a:endParaRPr lang="en-IN" b="1"/>
        </a:p>
        <a:p>
          <a:r>
            <a:rPr lang="en-IN" b="1"/>
            <a:t>A. Market Expansion and Growth Access</a:t>
          </a:r>
        </a:p>
        <a:p>
          <a:r>
            <a:rPr lang="en-IN"/>
            <a:t>GSKCH’s flagship products — </a:t>
          </a:r>
          <a:r>
            <a:rPr lang="en-IN" b="1"/>
            <a:t>Horlicks</a:t>
          </a:r>
          <a:r>
            <a:rPr lang="en-IN"/>
            <a:t> and </a:t>
          </a:r>
          <a:r>
            <a:rPr lang="en-IN" b="1"/>
            <a:t>Boost</a:t>
          </a:r>
          <a:r>
            <a:rPr lang="en-IN"/>
            <a:t> — had </a:t>
          </a:r>
          <a:r>
            <a:rPr lang="en-IN" b="1"/>
            <a:t>strong brand equity</a:t>
          </a:r>
          <a:r>
            <a:rPr lang="en-IN"/>
            <a:t> and a </a:t>
          </a:r>
          <a:r>
            <a:rPr lang="en-IN" b="1"/>
            <a:t>dominant 50%+ market share</a:t>
          </a:r>
          <a:r>
            <a:rPr lang="en-IN"/>
            <a:t> in the Health Food Drinks (HFD) category.</a:t>
          </a:r>
        </a:p>
        <a:p>
          <a:r>
            <a:rPr lang="en-IN"/>
            <a:t>Yet, GSKCH’s distribution was </a:t>
          </a:r>
          <a:r>
            <a:rPr lang="en-IN" b="1"/>
            <a:t>urban-concentrated</a:t>
          </a:r>
          <a:r>
            <a:rPr lang="en-IN"/>
            <a:t> (urban penetration 24%, rural only 14%).</a:t>
          </a:r>
        </a:p>
        <a:p>
          <a:r>
            <a:rPr lang="en-IN"/>
            <a:t>HUL, with its </a:t>
          </a:r>
          <a:r>
            <a:rPr lang="en-IN" b="1"/>
            <a:t>8 million+ retail outlets</a:t>
          </a:r>
          <a:r>
            <a:rPr lang="en-IN"/>
            <a:t> and </a:t>
          </a:r>
          <a:r>
            <a:rPr lang="en-IN" b="1"/>
            <a:t>4,500 distributors</a:t>
          </a:r>
          <a:r>
            <a:rPr lang="en-IN"/>
            <a:t>, could </a:t>
          </a:r>
          <a:r>
            <a:rPr lang="en-IN" b="1"/>
            <a:t>expand these brands deep into rural India</a:t>
          </a:r>
          <a:r>
            <a:rPr lang="en-IN"/>
            <a:t> — tapping vast untapped demand.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Use HUL’s national network to unlock growth in an underpenetrated nutrition market.</a:t>
          </a:r>
        </a:p>
        <a:p>
          <a:endParaRPr lang="en-IN"/>
        </a:p>
        <a:p>
          <a:r>
            <a:rPr lang="en-IN" b="1"/>
            <a:t>B. Product Portfolio Diversification</a:t>
          </a:r>
        </a:p>
        <a:p>
          <a:r>
            <a:rPr lang="en-IN"/>
            <a:t>Prior to the deal, HUL’s F&amp;R segment lacked a strong </a:t>
          </a:r>
          <a:r>
            <a:rPr lang="en-IN" b="1"/>
            <a:t>nutrition and health brand</a:t>
          </a:r>
          <a:r>
            <a:rPr lang="en-IN"/>
            <a:t>.</a:t>
          </a:r>
        </a:p>
        <a:p>
          <a:r>
            <a:rPr lang="en-IN"/>
            <a:t>By acquiring </a:t>
          </a:r>
          <a:r>
            <a:rPr lang="en-IN" b="1"/>
            <a:t>Horlicks, Boost, Maltova, and Viva</a:t>
          </a:r>
          <a:r>
            <a:rPr lang="en-IN"/>
            <a:t>, HUL instantly strengthened its </a:t>
          </a:r>
          <a:r>
            <a:rPr lang="en-IN" b="1"/>
            <a:t>F&amp;R portfolio</a:t>
          </a:r>
          <a:r>
            <a:rPr lang="en-IN"/>
            <a:t> with </a:t>
          </a:r>
          <a:r>
            <a:rPr lang="en-IN" b="1"/>
            <a:t>category-leading nutrition brands</a:t>
          </a:r>
          <a:r>
            <a:rPr lang="en-IN"/>
            <a:t>.</a:t>
          </a:r>
        </a:p>
        <a:p>
          <a:r>
            <a:rPr lang="en-IN"/>
            <a:t>The acquisition also gave HUL </a:t>
          </a:r>
          <a:r>
            <a:rPr lang="en-IN" b="1"/>
            <a:t>five-year distribution rights</a:t>
          </a:r>
          <a:r>
            <a:rPr lang="en-IN"/>
            <a:t> for </a:t>
          </a:r>
          <a:r>
            <a:rPr lang="en-IN" b="1"/>
            <a:t>OTC and oral healthcare brands</a:t>
          </a:r>
          <a:r>
            <a:rPr lang="en-IN"/>
            <a:t> (Sensodyne, Crocin, Eno, Otrivin).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Build a broader portfolio aligned with rising consumer demand for </a:t>
          </a:r>
          <a:r>
            <a:rPr lang="en-IN" b="1"/>
            <a:t>health, immunity, and wellness products</a:t>
          </a:r>
          <a:r>
            <a:rPr lang="en-IN"/>
            <a:t>.</a:t>
          </a:r>
        </a:p>
        <a:p>
          <a:endParaRPr lang="en-IN"/>
        </a:p>
        <a:p>
          <a:r>
            <a:rPr lang="en-IN" b="1" u="none"/>
            <a:t>C. Synergy Realization and Operational Efficiency</a:t>
          </a:r>
          <a:endParaRPr lang="en-IN" u="none"/>
        </a:p>
        <a:p>
          <a:r>
            <a:rPr lang="en-IN"/>
            <a:t>“Synergy benefits, including an anticipated expansion in profit margins of </a:t>
          </a:r>
          <a:r>
            <a:rPr lang="en-IN" b="1"/>
            <a:t>800–1,000 basis points</a:t>
          </a:r>
          <a:r>
            <a:rPr lang="en-IN"/>
            <a:t> due to reduced overhead costs and enhanced supply chain efficiencies.”</a:t>
          </a:r>
        </a:p>
        <a:p>
          <a:r>
            <a:rPr lang="en-IN" b="1"/>
            <a:t>Cost Synergies:</a:t>
          </a:r>
          <a:r>
            <a:rPr lang="en-IN"/>
            <a:t> Shared advertising, marketing, and administrative costs.</a:t>
          </a:r>
        </a:p>
        <a:p>
          <a:r>
            <a:rPr lang="en-IN" b="1"/>
            <a:t>Distribution Synergies:</a:t>
          </a:r>
          <a:r>
            <a:rPr lang="en-IN"/>
            <a:t> Integrated supply chain → economies of scale.</a:t>
          </a:r>
        </a:p>
        <a:p>
          <a:r>
            <a:rPr lang="en-IN" b="1"/>
            <a:t>Manufacturing Synergies:</a:t>
          </a:r>
          <a:r>
            <a:rPr lang="en-IN"/>
            <a:t> Shared sourcing, logistics, and reduced per-unit costs.</a:t>
          </a:r>
        </a:p>
        <a:p>
          <a:r>
            <a:rPr lang="en-IN" b="1"/>
            <a:t>Motivating</a:t>
          </a:r>
          <a:r>
            <a:rPr lang="en-IN" b="1" baseline="0"/>
            <a:t> Factor</a:t>
          </a:r>
          <a:r>
            <a:rPr lang="en-IN" b="1"/>
            <a:t>:</a:t>
          </a:r>
          <a:r>
            <a:rPr lang="en-IN"/>
            <a:t> Realize substantial </a:t>
          </a:r>
          <a:r>
            <a:rPr lang="en-IN" b="1"/>
            <a:t>cost efficiencies</a:t>
          </a:r>
          <a:r>
            <a:rPr lang="en-IN"/>
            <a:t> and </a:t>
          </a:r>
          <a:r>
            <a:rPr lang="en-IN" b="1"/>
            <a:t>margin improvement</a:t>
          </a:r>
          <a:r>
            <a:rPr lang="en-IN"/>
            <a:t> by leveraging HUL’s scale and systems.</a:t>
          </a:r>
        </a:p>
        <a:p>
          <a:br>
            <a:rPr lang="en-IN"/>
          </a:br>
          <a:endParaRPr lang="en-IN"/>
        </a:p>
        <a:p>
          <a:r>
            <a:rPr lang="en-IN" b="1"/>
            <a:t>D. Strengthening Brand Equity and Competitive Position</a:t>
          </a:r>
        </a:p>
        <a:p>
          <a:r>
            <a:rPr lang="en-IN"/>
            <a:t>Horlicks had decades of brand loyalty but was losing share to Bournvita and Protinex.</a:t>
          </a:r>
        </a:p>
        <a:p>
          <a:r>
            <a:rPr lang="en-IN"/>
            <a:t>Under HUL, the brand was </a:t>
          </a:r>
          <a:r>
            <a:rPr lang="en-IN" b="1"/>
            <a:t>revitalized</a:t>
          </a:r>
          <a:r>
            <a:rPr lang="en-IN"/>
            <a:t> — new product lines like </a:t>
          </a:r>
          <a:r>
            <a:rPr lang="en-IN" i="1"/>
            <a:t>Horlicks Diabetes Plus</a:t>
          </a:r>
          <a:r>
            <a:rPr lang="en-IN"/>
            <a:t>, new sachet sizes (₹2, ₹5) for affordability, and renewed marketing focus (“Taller, Stronger, Sharper” campaign).</a:t>
          </a:r>
        </a:p>
        <a:p>
          <a:r>
            <a:rPr lang="en-IN"/>
            <a:t>This rejuvenation </a:t>
          </a:r>
          <a:r>
            <a:rPr lang="en-IN" b="1"/>
            <a:t>repositioned HUL as a nutrition category leader</a:t>
          </a:r>
          <a:r>
            <a:rPr lang="en-IN"/>
            <a:t>, not just a personal-care giant.</a:t>
          </a:r>
        </a:p>
        <a:p>
          <a:r>
            <a:rPr lang="en-IN"/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Motivating Factor</a:t>
          </a:r>
          <a:r>
            <a:rPr lang="en-IN" b="1"/>
            <a:t>:</a:t>
          </a:r>
          <a:r>
            <a:rPr lang="en-IN"/>
            <a:t> Revive a legacy brand using HUL’s marketing muscle and innovation capability.</a:t>
          </a:r>
        </a:p>
        <a:p>
          <a:br>
            <a:rPr lang="en-IN"/>
          </a:br>
          <a:endParaRPr lang="en-IN"/>
        </a:p>
        <a:p>
          <a:r>
            <a:rPr lang="en-IN" b="1"/>
            <a:t>E. Strategic Fit with Unilever’s Global Priorities</a:t>
          </a:r>
        </a:p>
        <a:p>
          <a:r>
            <a:rPr lang="en-IN"/>
            <a:t>Unilever globally was pivoting toward </a:t>
          </a:r>
          <a:r>
            <a:rPr lang="en-IN" b="1"/>
            <a:t>sustainable health and nutrition brands</a:t>
          </a:r>
          <a:r>
            <a:rPr lang="en-IN"/>
            <a:t>.</a:t>
          </a:r>
        </a:p>
        <a:p>
          <a:r>
            <a:rPr lang="en-IN"/>
            <a:t>The case notes that by 2028, </a:t>
          </a:r>
          <a:r>
            <a:rPr lang="en-IN" b="1"/>
            <a:t>85% of HUL’s portfolio</a:t>
          </a:r>
          <a:r>
            <a:rPr lang="en-IN"/>
            <a:t> is expected to meet Unilever’s </a:t>
          </a:r>
          <a:r>
            <a:rPr lang="en-IN" b="1"/>
            <a:t>science-based Nutrition Criteria</a:t>
          </a:r>
          <a:r>
            <a:rPr lang="en-IN"/>
            <a:t>.</a:t>
          </a:r>
        </a:p>
        <a:p>
          <a:r>
            <a:rPr lang="en-IN"/>
            <a:t>The acquisition fit perfectly with this </a:t>
          </a:r>
          <a:r>
            <a:rPr lang="en-IN" b="1"/>
            <a:t>corporate sustainability and health agenda</a:t>
          </a:r>
          <a:r>
            <a:rPr lang="en-IN"/>
            <a:t>.</a:t>
          </a:r>
        </a:p>
        <a:p>
          <a:r>
            <a:rPr lang="en-IN" b="1"/>
            <a:t>Motivating Factor:</a:t>
          </a:r>
          <a:r>
            <a:rPr lang="en-IN"/>
            <a:t> Align HUL’s portfolio with Unilever’s </a:t>
          </a:r>
          <a:r>
            <a:rPr lang="en-IN" b="1"/>
            <a:t>global nutrition and ESG strategy</a:t>
          </a:r>
          <a:r>
            <a:rPr lang="en-IN"/>
            <a:t>.</a:t>
          </a:r>
        </a:p>
        <a:p>
          <a:br>
            <a:rPr lang="en-IN"/>
          </a:br>
          <a:endParaRPr lang="en-IN"/>
        </a:p>
        <a:p>
          <a:r>
            <a:rPr lang="en-IN" b="1"/>
            <a:t>F. Financial Strength and Cash Utilization</a:t>
          </a:r>
        </a:p>
        <a:p>
          <a:r>
            <a:rPr lang="en-IN"/>
            <a:t>HUL was </a:t>
          </a:r>
          <a:r>
            <a:rPr lang="en-IN" b="1"/>
            <a:t>cash-rich</a:t>
          </a:r>
          <a:r>
            <a:rPr lang="en-IN"/>
            <a:t> with limited debt (Exhibit 3 )</a:t>
          </a:r>
        </a:p>
        <a:p>
          <a:r>
            <a:rPr lang="en-IN"/>
            <a:t>GSKCH, meanwhile, was </a:t>
          </a:r>
          <a:r>
            <a:rPr lang="en-IN" b="1"/>
            <a:t>debt-free but underperforming</a:t>
          </a:r>
          <a:r>
            <a:rPr lang="en-IN"/>
            <a:t>.</a:t>
          </a:r>
        </a:p>
        <a:p>
          <a:r>
            <a:rPr lang="en-IN"/>
            <a:t>Deploying surplus cash in an accretive acquisition allowed HUL to </a:t>
          </a:r>
          <a:r>
            <a:rPr lang="en-IN" b="1"/>
            <a:t>enhance shareholder value</a:t>
          </a:r>
          <a:r>
            <a:rPr lang="en-IN"/>
            <a:t> and improve ROIC through synergy benefits and tax advantages (brand amortization).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Motivating Factor</a:t>
          </a:r>
          <a:r>
            <a:rPr lang="en-IN" b="1"/>
            <a:t>:</a:t>
          </a:r>
          <a:r>
            <a:rPr lang="en-IN"/>
            <a:t> Efficient capital allocation — turning cash reserves into long-term value creation.</a:t>
          </a:r>
        </a:p>
        <a:p>
          <a:endParaRPr lang="en-IN"/>
        </a:p>
        <a:p>
          <a:endParaRPr lang="en-IN"/>
        </a:p>
        <a:p>
          <a:r>
            <a:rPr lang="en-IN" sz="1600" b="1" u="sng"/>
            <a:t>SUMMARY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/>
            <a:t>The acquisition of GSKCH was a transformative move for HUL — enabling it to evolve from a traditional FMCG leader into a nutrition-focused, health-oriented consumer powerhouse, while simultaneously unlocking operational synergies and long-term value creation.</a:t>
          </a:r>
        </a:p>
        <a:p>
          <a:endParaRPr lang="en-IN" sz="1400" b="0" u="none"/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0</xdr:row>
      <xdr:rowOff>0</xdr:rowOff>
    </xdr:from>
    <xdr:to>
      <xdr:col>22</xdr:col>
      <xdr:colOff>586740</xdr:colOff>
      <xdr:row>53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5A6E0F-A37E-6E25-72F5-D0A9082CA39C}"/>
            </a:ext>
          </a:extLst>
        </xdr:cNvPr>
        <xdr:cNvSpPr/>
      </xdr:nvSpPr>
      <xdr:spPr>
        <a:xfrm>
          <a:off x="220980" y="0"/>
          <a:ext cx="13776960" cy="97688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 u="sng"/>
            <a:t>Future Opportunities and Benefits Arising from the HUL–GSKCH Deal:</a:t>
          </a:r>
        </a:p>
        <a:p>
          <a:pPr algn="l"/>
          <a:endParaRPr lang="en-IN" sz="1600" b="1" u="sng"/>
        </a:p>
        <a:p>
          <a:r>
            <a:rPr lang="en-IN" sz="1400" b="1"/>
            <a:t>1. Cost Synergies:</a:t>
          </a:r>
          <a:br>
            <a:rPr lang="en-IN" sz="1400"/>
          </a:br>
          <a:r>
            <a:rPr lang="en-IN" sz="1400"/>
            <a:t>HUL projected synergy benefits of </a:t>
          </a:r>
          <a:r>
            <a:rPr lang="en-IN" sz="1400" b="1"/>
            <a:t>800–1,000 basis points</a:t>
          </a:r>
          <a:r>
            <a:rPr lang="en-IN" sz="1400"/>
            <a:t> improvement in profit margins.</a:t>
          </a:r>
          <a:r>
            <a:rPr lang="en-IN" sz="1400" baseline="0"/>
            <a:t> </a:t>
          </a:r>
          <a:r>
            <a:rPr lang="en-IN" sz="1400"/>
            <a:t>These are expected to come from:</a:t>
          </a:r>
        </a:p>
        <a:p>
          <a:r>
            <a:rPr lang="en-IN" sz="1400"/>
            <a:t>Shared procurement and raw material sourcing</a:t>
          </a:r>
        </a:p>
        <a:p>
          <a:r>
            <a:rPr lang="en-IN" sz="1400"/>
            <a:t>Combined advertising, distribution, and logistics networks</a:t>
          </a:r>
        </a:p>
        <a:p>
          <a:r>
            <a:rPr lang="en-IN" sz="1400"/>
            <a:t>Streamlined administrative and supply chain operations</a:t>
          </a:r>
        </a:p>
        <a:p>
          <a:r>
            <a:rPr lang="en-IN" sz="1400"/>
            <a:t>This could lead to </a:t>
          </a:r>
          <a:r>
            <a:rPr lang="en-IN" sz="1400" b="1"/>
            <a:t>higher EBITDA margins</a:t>
          </a:r>
          <a:r>
            <a:rPr lang="en-IN" sz="1400"/>
            <a:t> and </a:t>
          </a:r>
          <a:r>
            <a:rPr lang="en-IN" sz="1400" b="1"/>
            <a:t>improved return on invested capital (ROIC)</a:t>
          </a:r>
          <a:r>
            <a:rPr lang="en-IN" sz="1400"/>
            <a:t> in the medium term.</a:t>
          </a:r>
        </a:p>
        <a:p>
          <a:r>
            <a:rPr lang="en-IN" sz="1400" b="1"/>
            <a:t>2. Revenue Synergies:</a:t>
          </a:r>
          <a:br>
            <a:rPr lang="en-IN" sz="1400"/>
          </a:br>
          <a:r>
            <a:rPr lang="en-IN" sz="1400"/>
            <a:t>The merger unlocks new growth channels:</a:t>
          </a:r>
        </a:p>
        <a:p>
          <a:r>
            <a:rPr lang="en-IN" sz="1400"/>
            <a:t>HUL’s vast distribution network (&gt;8 million outlets) will drive </a:t>
          </a:r>
          <a:r>
            <a:rPr lang="en-IN" sz="1400" b="1"/>
            <a:t>rural and semi-urban penetration</a:t>
          </a:r>
          <a:r>
            <a:rPr lang="en-IN" sz="1400"/>
            <a:t> for Horlicks and Boost.</a:t>
          </a:r>
        </a:p>
        <a:p>
          <a:r>
            <a:rPr lang="en-IN" sz="1400"/>
            <a:t>Cross-selling opportunities within HUL’s food and refreshment portfolio (e.g., tea, coffee, dairy beverages).</a:t>
          </a:r>
        </a:p>
        <a:p>
          <a:r>
            <a:rPr lang="en-IN" sz="1400"/>
            <a:t>Innovation in </a:t>
          </a:r>
          <a:r>
            <a:rPr lang="en-IN" sz="1400" b="1"/>
            <a:t>new product variants</a:t>
          </a:r>
          <a:r>
            <a:rPr lang="en-IN" sz="1400"/>
            <a:t> — such as Horlicks Women’s Plus, Diabetes Plus, or fortified nutritional sachets — targeting niche segments.</a:t>
          </a:r>
        </a:p>
        <a:p>
          <a:r>
            <a:rPr lang="en-IN" sz="1400"/>
            <a:t>Together, these should sustain a </a:t>
          </a:r>
          <a:r>
            <a:rPr lang="en-IN" sz="1400" b="1"/>
            <a:t>double-digit top-line growth (~11% CAGR)</a:t>
          </a:r>
          <a:r>
            <a:rPr lang="en-IN" sz="1400"/>
            <a:t> over the next few years, compared to GSKCH’s pre-merger stagnation.</a:t>
          </a:r>
        </a:p>
        <a:p>
          <a:endParaRPr lang="en-IN" sz="1400"/>
        </a:p>
        <a:p>
          <a:endParaRPr lang="en-IN" sz="1400"/>
        </a:p>
        <a:p>
          <a:r>
            <a:rPr lang="en-IN" sz="1600" b="1" u="sng"/>
            <a:t>Integration Challenges and Execution Risks:</a:t>
          </a:r>
        </a:p>
        <a:p>
          <a:endParaRPr lang="en-IN" sz="1600" b="1" u="sng"/>
        </a:p>
        <a:p>
          <a:r>
            <a:rPr lang="en-IN" sz="1400"/>
            <a:t>While the synergy potential is strong, integration is not without challenges:</a:t>
          </a:r>
        </a:p>
        <a:p>
          <a:r>
            <a:rPr lang="en-IN" sz="1400" b="1"/>
            <a:t>Cultural Integration:</a:t>
          </a:r>
          <a:r>
            <a:rPr lang="en-IN" sz="1400"/>
            <a:t> HUL’s FMCG model is fast-cycle and efficiency-driven, while GSKCH had a pharmaceutical-style structure with slower decision cycles. Aligning organizational cultures and management styles may take time.</a:t>
          </a:r>
        </a:p>
        <a:p>
          <a:r>
            <a:rPr lang="en-IN" sz="1400" b="1"/>
            <a:t>Supply Chain Realignment:</a:t>
          </a:r>
          <a:r>
            <a:rPr lang="en-IN" sz="1400"/>
            <a:t> Integrating manufacturing and logistics networks could initially increase transition costs.</a:t>
          </a:r>
        </a:p>
        <a:p>
          <a:r>
            <a:rPr lang="en-IN" sz="1400" b="1"/>
            <a:t>Brand Transition:</a:t>
          </a:r>
          <a:r>
            <a:rPr lang="en-IN" sz="1400"/>
            <a:t> Retaining consumer trust during brand repositioning (especially Horlicks) requires careful marketing to avoid dilution.</a:t>
          </a:r>
        </a:p>
        <a:p>
          <a:r>
            <a:rPr lang="en-IN" sz="1400" b="1"/>
            <a:t>Termination of OTC Distribution (2023):</a:t>
          </a:r>
          <a:r>
            <a:rPr lang="en-IN" sz="1400"/>
            <a:t> The case notes that HUL ended its distribution agreement for GSK’s OTC brands (like Sensodyne, Eno). This could limit near-term synergy realization in non-nutrition categories.</a:t>
          </a:r>
        </a:p>
        <a:p>
          <a:r>
            <a:rPr lang="en-IN" sz="1400"/>
            <a:t>Despite these hurdles, HUL’s scale, experience with prior integrations, and proven execution capabilities reduce long-term integration risk.</a:t>
          </a:r>
        </a:p>
        <a:p>
          <a:endParaRPr lang="en-IN" sz="1400"/>
        </a:p>
        <a:p>
          <a:endParaRPr lang="en-IN" sz="1400"/>
        </a:p>
        <a:p>
          <a:r>
            <a:rPr lang="en-IN" sz="1600" b="1" u="sng"/>
            <a:t>Long-Term Competitive Advantages:</a:t>
          </a:r>
        </a:p>
        <a:p>
          <a:endParaRPr lang="en-IN" sz="1600" b="1" u="sng"/>
        </a:p>
        <a:p>
          <a:r>
            <a:rPr lang="en-IN" sz="1400" b="1"/>
            <a:t>1. Strengthened Nutrition Leadership:</a:t>
          </a:r>
          <a:br>
            <a:rPr lang="en-IN" sz="1400"/>
          </a:br>
          <a:r>
            <a:rPr lang="en-IN" sz="1400"/>
            <a:t>Post-acquisition, HUL has evolved from a personal care–heavy company into a </a:t>
          </a:r>
          <a:r>
            <a:rPr lang="en-IN" sz="1400" b="1"/>
            <a:t>comprehensive consumer health and nutrition leader</a:t>
          </a:r>
          <a:r>
            <a:rPr lang="en-IN" sz="1400"/>
            <a:t>, a space projected to reach </a:t>
          </a:r>
          <a:r>
            <a:rPr lang="en-IN" sz="1400" b="1"/>
            <a:t>$30 billion by 2026</a:t>
          </a:r>
          <a:r>
            <a:rPr lang="en-IN" sz="1400"/>
            <a:t> in India.</a:t>
          </a:r>
        </a:p>
        <a:p>
          <a:r>
            <a:rPr lang="en-IN" sz="1400" b="1"/>
            <a:t>2. Enhanced Product Diversification:</a:t>
          </a:r>
          <a:br>
            <a:rPr lang="en-IN" sz="1400"/>
          </a:br>
          <a:r>
            <a:rPr lang="en-IN" sz="1400"/>
            <a:t>The inclusion of iconic brands like </a:t>
          </a:r>
          <a:r>
            <a:rPr lang="en-IN" sz="1400" b="1"/>
            <a:t>Horlicks, Boost, Maltova, and Viva</a:t>
          </a:r>
          <a:r>
            <a:rPr lang="en-IN" sz="1400"/>
            <a:t> strengthens HUL’s “Food &amp; Refreshment” segment, making revenue streams more balanced and resilient to sectoral shocks.</a:t>
          </a:r>
        </a:p>
        <a:p>
          <a:r>
            <a:rPr lang="en-IN" sz="1400" b="1"/>
            <a:t>3. Economies of Scale and Cost Efficiency:</a:t>
          </a:r>
          <a:br>
            <a:rPr lang="en-IN" sz="1400"/>
          </a:br>
          <a:r>
            <a:rPr lang="en-IN" sz="1400"/>
            <a:t>As HUL integrates GSKCH’s operations, shared warehousing, advertising, and R&amp;D will improve </a:t>
          </a:r>
          <a:r>
            <a:rPr lang="en-IN" sz="1400" b="1"/>
            <a:t>operational efficiency</a:t>
          </a:r>
          <a:r>
            <a:rPr lang="en-IN" sz="1400"/>
            <a:t>, supporting long-term margin expansion.</a:t>
          </a:r>
        </a:p>
        <a:p>
          <a:r>
            <a:rPr lang="en-IN" sz="1400" b="1"/>
            <a:t>4. Stronger Brand Equity and Consumer Trust:</a:t>
          </a:r>
          <a:br>
            <a:rPr lang="en-IN" sz="1400"/>
          </a:br>
          <a:r>
            <a:rPr lang="en-IN" sz="1400"/>
            <a:t>HUL’s marketing expertise and Horlicks’ heritage brand equity create a strong moat against competitors like Nestlé (Milo) and Mondelez (Bournvita).</a:t>
          </a:r>
        </a:p>
        <a:p>
          <a:r>
            <a:rPr lang="en-IN" sz="1400" b="1"/>
            <a:t>5. ESG and Health Focus Alignment:</a:t>
          </a:r>
          <a:br>
            <a:rPr lang="en-IN" sz="1400"/>
          </a:br>
          <a:r>
            <a:rPr lang="en-IN" sz="1400"/>
            <a:t>The merger supports Unilever’s global shift toward </a:t>
          </a:r>
          <a:r>
            <a:rPr lang="en-IN" sz="1400" b="1"/>
            <a:t>sustainable, health-focused products</a:t>
          </a:r>
          <a:r>
            <a:rPr lang="en-IN" sz="1400"/>
            <a:t>, helping HUL achieve its goal of making </a:t>
          </a:r>
          <a:r>
            <a:rPr lang="en-IN" sz="1400" b="1"/>
            <a:t>85% of its portfolio meet Unilever’s Nutrition Criteria by 2028</a:t>
          </a:r>
          <a:r>
            <a:rPr lang="en-IN" sz="1400"/>
            <a:t>.</a:t>
          </a:r>
        </a:p>
        <a:p>
          <a:endParaRPr lang="en-IN" sz="1600" b="1" u="sng"/>
        </a:p>
        <a:p>
          <a:endParaRPr lang="en-IN" sz="1400" b="1" u="sng"/>
        </a:p>
        <a:p>
          <a:pPr algn="l"/>
          <a:endParaRPr lang="en-IN" sz="1400" b="0" u="sng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l%20Data\Downloads\Case%20HUL%20GSK\calcula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rive\Great%20Lakes%20courses\Corporate%20Valuation\PGPM\2025-26\Case%20and%20reading%20material\Officially%20retrieved\HUL_Revisiting%20merger%20valuation_Studen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change Ratio"/>
      <sheetName val="Sheet4"/>
      <sheetName val="DCF sheet"/>
      <sheetName val="CAPM"/>
      <sheetName val="CAPM HUL"/>
      <sheetName val="Schedules"/>
      <sheetName val="Sheet1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1">
          <cell r="E21">
            <v>642</v>
          </cell>
          <cell r="F21">
            <v>644</v>
          </cell>
          <cell r="G21">
            <v>605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right"/>
      <sheetName val="Assumptions TN1"/>
      <sheetName val="TN1"/>
      <sheetName val="Assumptions TN2"/>
      <sheetName val="TN2"/>
      <sheetName val="TN3_Schedules"/>
      <sheetName val="TN4_Relative Valuation"/>
      <sheetName val="TN5_Football Field Analysis"/>
      <sheetName val="TN6_Exchange Ratio and EV"/>
      <sheetName val="TN7_Threshold Lim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D8">
            <v>34534.400000000001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activeCell="B4" sqref="B4"/>
    </sheetView>
  </sheetViews>
  <sheetFormatPr defaultColWidth="8.88671875" defaultRowHeight="14.4" x14ac:dyDescent="0.3"/>
  <cols>
    <col min="1" max="1" width="87.5546875" customWidth="1"/>
    <col min="2" max="2" width="14.44140625" customWidth="1"/>
    <col min="3" max="3" width="18.5546875" customWidth="1"/>
    <col min="10" max="10" width="14.5546875" customWidth="1"/>
  </cols>
  <sheetData>
    <row r="1" spans="1:11" ht="24.9" customHeight="1" x14ac:dyDescent="0.3">
      <c r="A1" s="188" t="s">
        <v>41</v>
      </c>
      <c r="B1" s="188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3">
      <c r="A2" s="77" t="s">
        <v>42</v>
      </c>
      <c r="B2" s="78" t="s">
        <v>43</v>
      </c>
      <c r="C2" s="79"/>
      <c r="D2" s="76"/>
      <c r="E2" s="76"/>
      <c r="F2" s="76"/>
      <c r="G2" s="76"/>
      <c r="H2" s="76"/>
      <c r="I2" s="76"/>
      <c r="J2" s="76"/>
      <c r="K2" s="76"/>
    </row>
    <row r="3" spans="1:11" ht="16.2" x14ac:dyDescent="0.3">
      <c r="A3" s="76" t="s">
        <v>44</v>
      </c>
      <c r="B3" s="80">
        <v>-0.02</v>
      </c>
      <c r="C3" s="76"/>
      <c r="D3" s="76"/>
      <c r="E3" s="76"/>
      <c r="F3" s="76"/>
      <c r="G3" s="76"/>
      <c r="H3" s="76"/>
      <c r="I3" s="76"/>
      <c r="J3" s="76"/>
      <c r="K3" s="76"/>
    </row>
    <row r="4" spans="1:11" ht="16.2" x14ac:dyDescent="0.3">
      <c r="A4" s="76" t="s">
        <v>45</v>
      </c>
      <c r="B4" s="81">
        <v>0.02</v>
      </c>
      <c r="C4" s="76"/>
      <c r="D4" s="76"/>
      <c r="E4" s="76"/>
      <c r="F4" s="76"/>
      <c r="G4" s="76"/>
      <c r="H4" s="76"/>
      <c r="I4" s="76"/>
      <c r="J4" s="76"/>
      <c r="K4" s="76"/>
    </row>
    <row r="5" spans="1:11" ht="16.2" x14ac:dyDescent="0.3">
      <c r="A5" s="76" t="s">
        <v>46</v>
      </c>
      <c r="B5" s="81">
        <v>0.06</v>
      </c>
      <c r="C5" s="76"/>
      <c r="D5" s="76"/>
      <c r="E5" s="76"/>
      <c r="F5" s="76"/>
      <c r="G5" s="76"/>
      <c r="H5" s="76"/>
      <c r="I5" s="76"/>
      <c r="J5" s="76"/>
      <c r="K5" s="76"/>
    </row>
    <row r="6" spans="1:11" x14ac:dyDescent="0.3">
      <c r="A6" s="76"/>
      <c r="B6" s="81"/>
      <c r="C6" s="76"/>
      <c r="D6" s="76"/>
      <c r="E6" s="76"/>
      <c r="F6" s="76"/>
      <c r="G6" s="76"/>
      <c r="H6" s="76"/>
      <c r="I6" s="76"/>
      <c r="J6" s="76"/>
      <c r="K6" s="76"/>
    </row>
    <row r="7" spans="1:1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x14ac:dyDescent="0.3">
      <c r="A8" s="76" t="s">
        <v>47</v>
      </c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x14ac:dyDescent="0.3">
      <c r="A10" s="76" t="s">
        <v>48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 ht="16.2" x14ac:dyDescent="0.3">
      <c r="A11" s="76" t="s">
        <v>49</v>
      </c>
    </row>
    <row r="12" spans="1:11" ht="16.2" x14ac:dyDescent="0.3">
      <c r="A12" s="82" t="s">
        <v>50</v>
      </c>
    </row>
    <row r="13" spans="1:11" ht="16.2" x14ac:dyDescent="0.3">
      <c r="A13" s="82" t="s">
        <v>51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98"/>
  <sheetViews>
    <sheetView tabSelected="1" topLeftCell="A3" workbookViewId="0">
      <pane xSplit="1" topLeftCell="D1" activePane="topRight" state="frozen"/>
      <selection pane="topRight" activeCell="I19" sqref="I19"/>
    </sheetView>
  </sheetViews>
  <sheetFormatPr defaultColWidth="8.88671875" defaultRowHeight="13.2" x14ac:dyDescent="0.25"/>
  <cols>
    <col min="1" max="1" width="48" style="4" bestFit="1" customWidth="1"/>
    <col min="2" max="2" width="14" style="4" bestFit="1" customWidth="1"/>
    <col min="3" max="3" width="18.21875" style="4" customWidth="1"/>
    <col min="4" max="4" width="15.109375" style="4" customWidth="1"/>
    <col min="5" max="6" width="16.88671875" style="4" customWidth="1"/>
    <col min="7" max="7" width="18.44140625" style="4" bestFit="1" customWidth="1"/>
    <col min="8" max="8" width="13" style="4" customWidth="1"/>
    <col min="9" max="9" width="13.6640625" style="75" customWidth="1"/>
    <col min="10" max="10" width="10.21875" style="7" bestFit="1" customWidth="1"/>
    <col min="11" max="12" width="10.21875" style="3" bestFit="1" customWidth="1"/>
    <col min="13" max="13" width="12.21875" style="3" bestFit="1" customWidth="1"/>
    <col min="14" max="14" width="10.21875" style="3" bestFit="1" customWidth="1"/>
    <col min="15" max="15" width="8.88671875" style="3"/>
    <col min="16" max="250" width="8.88671875" style="4"/>
    <col min="251" max="251" width="0.88671875" style="4" customWidth="1"/>
    <col min="252" max="265" width="13.6640625" style="4" customWidth="1"/>
    <col min="266" max="266" width="3.88671875" style="4" customWidth="1"/>
    <col min="267" max="268" width="8.88671875" style="4"/>
    <col min="269" max="269" width="27.44140625" style="4" bestFit="1" customWidth="1"/>
    <col min="270" max="506" width="8.88671875" style="4"/>
    <col min="507" max="507" width="0.88671875" style="4" customWidth="1"/>
    <col min="508" max="521" width="13.6640625" style="4" customWidth="1"/>
    <col min="522" max="522" width="3.88671875" style="4" customWidth="1"/>
    <col min="523" max="524" width="8.88671875" style="4"/>
    <col min="525" max="525" width="27.44140625" style="4" bestFit="1" customWidth="1"/>
    <col min="526" max="762" width="8.88671875" style="4"/>
    <col min="763" max="763" width="0.88671875" style="4" customWidth="1"/>
    <col min="764" max="777" width="13.6640625" style="4" customWidth="1"/>
    <col min="778" max="778" width="3.88671875" style="4" customWidth="1"/>
    <col min="779" max="780" width="8.88671875" style="4"/>
    <col min="781" max="781" width="27.44140625" style="4" bestFit="1" customWidth="1"/>
    <col min="782" max="1018" width="8.88671875" style="4"/>
    <col min="1019" max="1019" width="0.88671875" style="4" customWidth="1"/>
    <col min="1020" max="1033" width="13.6640625" style="4" customWidth="1"/>
    <col min="1034" max="1034" width="3.88671875" style="4" customWidth="1"/>
    <col min="1035" max="1036" width="8.88671875" style="4"/>
    <col min="1037" max="1037" width="27.44140625" style="4" bestFit="1" customWidth="1"/>
    <col min="1038" max="1274" width="8.88671875" style="4"/>
    <col min="1275" max="1275" width="0.88671875" style="4" customWidth="1"/>
    <col min="1276" max="1289" width="13.6640625" style="4" customWidth="1"/>
    <col min="1290" max="1290" width="3.88671875" style="4" customWidth="1"/>
    <col min="1291" max="1292" width="8.88671875" style="4"/>
    <col min="1293" max="1293" width="27.44140625" style="4" bestFit="1" customWidth="1"/>
    <col min="1294" max="1530" width="8.88671875" style="4"/>
    <col min="1531" max="1531" width="0.88671875" style="4" customWidth="1"/>
    <col min="1532" max="1545" width="13.6640625" style="4" customWidth="1"/>
    <col min="1546" max="1546" width="3.88671875" style="4" customWidth="1"/>
    <col min="1547" max="1548" width="8.88671875" style="4"/>
    <col min="1549" max="1549" width="27.44140625" style="4" bestFit="1" customWidth="1"/>
    <col min="1550" max="1786" width="8.88671875" style="4"/>
    <col min="1787" max="1787" width="0.88671875" style="4" customWidth="1"/>
    <col min="1788" max="1801" width="13.6640625" style="4" customWidth="1"/>
    <col min="1802" max="1802" width="3.88671875" style="4" customWidth="1"/>
    <col min="1803" max="1804" width="8.88671875" style="4"/>
    <col min="1805" max="1805" width="27.44140625" style="4" bestFit="1" customWidth="1"/>
    <col min="1806" max="2042" width="8.88671875" style="4"/>
    <col min="2043" max="2043" width="0.88671875" style="4" customWidth="1"/>
    <col min="2044" max="2057" width="13.6640625" style="4" customWidth="1"/>
    <col min="2058" max="2058" width="3.88671875" style="4" customWidth="1"/>
    <col min="2059" max="2060" width="8.88671875" style="4"/>
    <col min="2061" max="2061" width="27.44140625" style="4" bestFit="1" customWidth="1"/>
    <col min="2062" max="2298" width="8.88671875" style="4"/>
    <col min="2299" max="2299" width="0.88671875" style="4" customWidth="1"/>
    <col min="2300" max="2313" width="13.6640625" style="4" customWidth="1"/>
    <col min="2314" max="2314" width="3.88671875" style="4" customWidth="1"/>
    <col min="2315" max="2316" width="8.88671875" style="4"/>
    <col min="2317" max="2317" width="27.44140625" style="4" bestFit="1" customWidth="1"/>
    <col min="2318" max="2554" width="8.88671875" style="4"/>
    <col min="2555" max="2555" width="0.88671875" style="4" customWidth="1"/>
    <col min="2556" max="2569" width="13.6640625" style="4" customWidth="1"/>
    <col min="2570" max="2570" width="3.88671875" style="4" customWidth="1"/>
    <col min="2571" max="2572" width="8.88671875" style="4"/>
    <col min="2573" max="2573" width="27.44140625" style="4" bestFit="1" customWidth="1"/>
    <col min="2574" max="2810" width="8.88671875" style="4"/>
    <col min="2811" max="2811" width="0.88671875" style="4" customWidth="1"/>
    <col min="2812" max="2825" width="13.6640625" style="4" customWidth="1"/>
    <col min="2826" max="2826" width="3.88671875" style="4" customWidth="1"/>
    <col min="2827" max="2828" width="8.88671875" style="4"/>
    <col min="2829" max="2829" width="27.44140625" style="4" bestFit="1" customWidth="1"/>
    <col min="2830" max="3066" width="8.88671875" style="4"/>
    <col min="3067" max="3067" width="0.88671875" style="4" customWidth="1"/>
    <col min="3068" max="3081" width="13.6640625" style="4" customWidth="1"/>
    <col min="3082" max="3082" width="3.88671875" style="4" customWidth="1"/>
    <col min="3083" max="3084" width="8.88671875" style="4"/>
    <col min="3085" max="3085" width="27.44140625" style="4" bestFit="1" customWidth="1"/>
    <col min="3086" max="3322" width="8.88671875" style="4"/>
    <col min="3323" max="3323" width="0.88671875" style="4" customWidth="1"/>
    <col min="3324" max="3337" width="13.6640625" style="4" customWidth="1"/>
    <col min="3338" max="3338" width="3.88671875" style="4" customWidth="1"/>
    <col min="3339" max="3340" width="8.88671875" style="4"/>
    <col min="3341" max="3341" width="27.44140625" style="4" bestFit="1" customWidth="1"/>
    <col min="3342" max="3578" width="8.88671875" style="4"/>
    <col min="3579" max="3579" width="0.88671875" style="4" customWidth="1"/>
    <col min="3580" max="3593" width="13.6640625" style="4" customWidth="1"/>
    <col min="3594" max="3594" width="3.88671875" style="4" customWidth="1"/>
    <col min="3595" max="3596" width="8.88671875" style="4"/>
    <col min="3597" max="3597" width="27.44140625" style="4" bestFit="1" customWidth="1"/>
    <col min="3598" max="3834" width="8.88671875" style="4"/>
    <col min="3835" max="3835" width="0.88671875" style="4" customWidth="1"/>
    <col min="3836" max="3849" width="13.6640625" style="4" customWidth="1"/>
    <col min="3850" max="3850" width="3.88671875" style="4" customWidth="1"/>
    <col min="3851" max="3852" width="8.88671875" style="4"/>
    <col min="3853" max="3853" width="27.44140625" style="4" bestFit="1" customWidth="1"/>
    <col min="3854" max="4090" width="8.88671875" style="4"/>
    <col min="4091" max="4091" width="0.88671875" style="4" customWidth="1"/>
    <col min="4092" max="4105" width="13.6640625" style="4" customWidth="1"/>
    <col min="4106" max="4106" width="3.88671875" style="4" customWidth="1"/>
    <col min="4107" max="4108" width="8.88671875" style="4"/>
    <col min="4109" max="4109" width="27.44140625" style="4" bestFit="1" customWidth="1"/>
    <col min="4110" max="4346" width="8.88671875" style="4"/>
    <col min="4347" max="4347" width="0.88671875" style="4" customWidth="1"/>
    <col min="4348" max="4361" width="13.6640625" style="4" customWidth="1"/>
    <col min="4362" max="4362" width="3.88671875" style="4" customWidth="1"/>
    <col min="4363" max="4364" width="8.88671875" style="4"/>
    <col min="4365" max="4365" width="27.44140625" style="4" bestFit="1" customWidth="1"/>
    <col min="4366" max="4602" width="8.88671875" style="4"/>
    <col min="4603" max="4603" width="0.88671875" style="4" customWidth="1"/>
    <col min="4604" max="4617" width="13.6640625" style="4" customWidth="1"/>
    <col min="4618" max="4618" width="3.88671875" style="4" customWidth="1"/>
    <col min="4619" max="4620" width="8.88671875" style="4"/>
    <col min="4621" max="4621" width="27.44140625" style="4" bestFit="1" customWidth="1"/>
    <col min="4622" max="4858" width="8.88671875" style="4"/>
    <col min="4859" max="4859" width="0.88671875" style="4" customWidth="1"/>
    <col min="4860" max="4873" width="13.6640625" style="4" customWidth="1"/>
    <col min="4874" max="4874" width="3.88671875" style="4" customWidth="1"/>
    <col min="4875" max="4876" width="8.88671875" style="4"/>
    <col min="4877" max="4877" width="27.44140625" style="4" bestFit="1" customWidth="1"/>
    <col min="4878" max="5114" width="8.88671875" style="4"/>
    <col min="5115" max="5115" width="0.88671875" style="4" customWidth="1"/>
    <col min="5116" max="5129" width="13.6640625" style="4" customWidth="1"/>
    <col min="5130" max="5130" width="3.88671875" style="4" customWidth="1"/>
    <col min="5131" max="5132" width="8.88671875" style="4"/>
    <col min="5133" max="5133" width="27.44140625" style="4" bestFit="1" customWidth="1"/>
    <col min="5134" max="5370" width="8.88671875" style="4"/>
    <col min="5371" max="5371" width="0.88671875" style="4" customWidth="1"/>
    <col min="5372" max="5385" width="13.6640625" style="4" customWidth="1"/>
    <col min="5386" max="5386" width="3.88671875" style="4" customWidth="1"/>
    <col min="5387" max="5388" width="8.88671875" style="4"/>
    <col min="5389" max="5389" width="27.44140625" style="4" bestFit="1" customWidth="1"/>
    <col min="5390" max="5626" width="8.88671875" style="4"/>
    <col min="5627" max="5627" width="0.88671875" style="4" customWidth="1"/>
    <col min="5628" max="5641" width="13.6640625" style="4" customWidth="1"/>
    <col min="5642" max="5642" width="3.88671875" style="4" customWidth="1"/>
    <col min="5643" max="5644" width="8.88671875" style="4"/>
    <col min="5645" max="5645" width="27.44140625" style="4" bestFit="1" customWidth="1"/>
    <col min="5646" max="5882" width="8.88671875" style="4"/>
    <col min="5883" max="5883" width="0.88671875" style="4" customWidth="1"/>
    <col min="5884" max="5897" width="13.6640625" style="4" customWidth="1"/>
    <col min="5898" max="5898" width="3.88671875" style="4" customWidth="1"/>
    <col min="5899" max="5900" width="8.88671875" style="4"/>
    <col min="5901" max="5901" width="27.44140625" style="4" bestFit="1" customWidth="1"/>
    <col min="5902" max="6138" width="8.88671875" style="4"/>
    <col min="6139" max="6139" width="0.88671875" style="4" customWidth="1"/>
    <col min="6140" max="6153" width="13.6640625" style="4" customWidth="1"/>
    <col min="6154" max="6154" width="3.88671875" style="4" customWidth="1"/>
    <col min="6155" max="6156" width="8.88671875" style="4"/>
    <col min="6157" max="6157" width="27.44140625" style="4" bestFit="1" customWidth="1"/>
    <col min="6158" max="6394" width="8.88671875" style="4"/>
    <col min="6395" max="6395" width="0.88671875" style="4" customWidth="1"/>
    <col min="6396" max="6409" width="13.6640625" style="4" customWidth="1"/>
    <col min="6410" max="6410" width="3.88671875" style="4" customWidth="1"/>
    <col min="6411" max="6412" width="8.88671875" style="4"/>
    <col min="6413" max="6413" width="27.44140625" style="4" bestFit="1" customWidth="1"/>
    <col min="6414" max="6650" width="8.88671875" style="4"/>
    <col min="6651" max="6651" width="0.88671875" style="4" customWidth="1"/>
    <col min="6652" max="6665" width="13.6640625" style="4" customWidth="1"/>
    <col min="6666" max="6666" width="3.88671875" style="4" customWidth="1"/>
    <col min="6667" max="6668" width="8.88671875" style="4"/>
    <col min="6669" max="6669" width="27.44140625" style="4" bestFit="1" customWidth="1"/>
    <col min="6670" max="6906" width="8.88671875" style="4"/>
    <col min="6907" max="6907" width="0.88671875" style="4" customWidth="1"/>
    <col min="6908" max="6921" width="13.6640625" style="4" customWidth="1"/>
    <col min="6922" max="6922" width="3.88671875" style="4" customWidth="1"/>
    <col min="6923" max="6924" width="8.88671875" style="4"/>
    <col min="6925" max="6925" width="27.44140625" style="4" bestFit="1" customWidth="1"/>
    <col min="6926" max="7162" width="8.88671875" style="4"/>
    <col min="7163" max="7163" width="0.88671875" style="4" customWidth="1"/>
    <col min="7164" max="7177" width="13.6640625" style="4" customWidth="1"/>
    <col min="7178" max="7178" width="3.88671875" style="4" customWidth="1"/>
    <col min="7179" max="7180" width="8.88671875" style="4"/>
    <col min="7181" max="7181" width="27.44140625" style="4" bestFit="1" customWidth="1"/>
    <col min="7182" max="7418" width="8.88671875" style="4"/>
    <col min="7419" max="7419" width="0.88671875" style="4" customWidth="1"/>
    <col min="7420" max="7433" width="13.6640625" style="4" customWidth="1"/>
    <col min="7434" max="7434" width="3.88671875" style="4" customWidth="1"/>
    <col min="7435" max="7436" width="8.88671875" style="4"/>
    <col min="7437" max="7437" width="27.44140625" style="4" bestFit="1" customWidth="1"/>
    <col min="7438" max="7674" width="8.88671875" style="4"/>
    <col min="7675" max="7675" width="0.88671875" style="4" customWidth="1"/>
    <col min="7676" max="7689" width="13.6640625" style="4" customWidth="1"/>
    <col min="7690" max="7690" width="3.88671875" style="4" customWidth="1"/>
    <col min="7691" max="7692" width="8.88671875" style="4"/>
    <col min="7693" max="7693" width="27.44140625" style="4" bestFit="1" customWidth="1"/>
    <col min="7694" max="7930" width="8.88671875" style="4"/>
    <col min="7931" max="7931" width="0.88671875" style="4" customWidth="1"/>
    <col min="7932" max="7945" width="13.6640625" style="4" customWidth="1"/>
    <col min="7946" max="7946" width="3.88671875" style="4" customWidth="1"/>
    <col min="7947" max="7948" width="8.88671875" style="4"/>
    <col min="7949" max="7949" width="27.44140625" style="4" bestFit="1" customWidth="1"/>
    <col min="7950" max="8186" width="8.88671875" style="4"/>
    <col min="8187" max="8187" width="0.88671875" style="4" customWidth="1"/>
    <col min="8188" max="8201" width="13.6640625" style="4" customWidth="1"/>
    <col min="8202" max="8202" width="3.88671875" style="4" customWidth="1"/>
    <col min="8203" max="8204" width="8.88671875" style="4"/>
    <col min="8205" max="8205" width="27.44140625" style="4" bestFit="1" customWidth="1"/>
    <col min="8206" max="8442" width="8.88671875" style="4"/>
    <col min="8443" max="8443" width="0.88671875" style="4" customWidth="1"/>
    <col min="8444" max="8457" width="13.6640625" style="4" customWidth="1"/>
    <col min="8458" max="8458" width="3.88671875" style="4" customWidth="1"/>
    <col min="8459" max="8460" width="8.88671875" style="4"/>
    <col min="8461" max="8461" width="27.44140625" style="4" bestFit="1" customWidth="1"/>
    <col min="8462" max="8698" width="8.88671875" style="4"/>
    <col min="8699" max="8699" width="0.88671875" style="4" customWidth="1"/>
    <col min="8700" max="8713" width="13.6640625" style="4" customWidth="1"/>
    <col min="8714" max="8714" width="3.88671875" style="4" customWidth="1"/>
    <col min="8715" max="8716" width="8.88671875" style="4"/>
    <col min="8717" max="8717" width="27.44140625" style="4" bestFit="1" customWidth="1"/>
    <col min="8718" max="8954" width="8.88671875" style="4"/>
    <col min="8955" max="8955" width="0.88671875" style="4" customWidth="1"/>
    <col min="8956" max="8969" width="13.6640625" style="4" customWidth="1"/>
    <col min="8970" max="8970" width="3.88671875" style="4" customWidth="1"/>
    <col min="8971" max="8972" width="8.88671875" style="4"/>
    <col min="8973" max="8973" width="27.44140625" style="4" bestFit="1" customWidth="1"/>
    <col min="8974" max="9210" width="8.88671875" style="4"/>
    <col min="9211" max="9211" width="0.88671875" style="4" customWidth="1"/>
    <col min="9212" max="9225" width="13.6640625" style="4" customWidth="1"/>
    <col min="9226" max="9226" width="3.88671875" style="4" customWidth="1"/>
    <col min="9227" max="9228" width="8.88671875" style="4"/>
    <col min="9229" max="9229" width="27.44140625" style="4" bestFit="1" customWidth="1"/>
    <col min="9230" max="9466" width="8.88671875" style="4"/>
    <col min="9467" max="9467" width="0.88671875" style="4" customWidth="1"/>
    <col min="9468" max="9481" width="13.6640625" style="4" customWidth="1"/>
    <col min="9482" max="9482" width="3.88671875" style="4" customWidth="1"/>
    <col min="9483" max="9484" width="8.88671875" style="4"/>
    <col min="9485" max="9485" width="27.44140625" style="4" bestFit="1" customWidth="1"/>
    <col min="9486" max="9722" width="8.88671875" style="4"/>
    <col min="9723" max="9723" width="0.88671875" style="4" customWidth="1"/>
    <col min="9724" max="9737" width="13.6640625" style="4" customWidth="1"/>
    <col min="9738" max="9738" width="3.88671875" style="4" customWidth="1"/>
    <col min="9739" max="9740" width="8.88671875" style="4"/>
    <col min="9741" max="9741" width="27.44140625" style="4" bestFit="1" customWidth="1"/>
    <col min="9742" max="9978" width="8.88671875" style="4"/>
    <col min="9979" max="9979" width="0.88671875" style="4" customWidth="1"/>
    <col min="9980" max="9993" width="13.6640625" style="4" customWidth="1"/>
    <col min="9994" max="9994" width="3.88671875" style="4" customWidth="1"/>
    <col min="9995" max="9996" width="8.88671875" style="4"/>
    <col min="9997" max="9997" width="27.44140625" style="4" bestFit="1" customWidth="1"/>
    <col min="9998" max="10234" width="8.88671875" style="4"/>
    <col min="10235" max="10235" width="0.88671875" style="4" customWidth="1"/>
    <col min="10236" max="10249" width="13.6640625" style="4" customWidth="1"/>
    <col min="10250" max="10250" width="3.88671875" style="4" customWidth="1"/>
    <col min="10251" max="10252" width="8.88671875" style="4"/>
    <col min="10253" max="10253" width="27.44140625" style="4" bestFit="1" customWidth="1"/>
    <col min="10254" max="10490" width="8.88671875" style="4"/>
    <col min="10491" max="10491" width="0.88671875" style="4" customWidth="1"/>
    <col min="10492" max="10505" width="13.6640625" style="4" customWidth="1"/>
    <col min="10506" max="10506" width="3.88671875" style="4" customWidth="1"/>
    <col min="10507" max="10508" width="8.88671875" style="4"/>
    <col min="10509" max="10509" width="27.44140625" style="4" bestFit="1" customWidth="1"/>
    <col min="10510" max="10746" width="8.88671875" style="4"/>
    <col min="10747" max="10747" width="0.88671875" style="4" customWidth="1"/>
    <col min="10748" max="10761" width="13.6640625" style="4" customWidth="1"/>
    <col min="10762" max="10762" width="3.88671875" style="4" customWidth="1"/>
    <col min="10763" max="10764" width="8.88671875" style="4"/>
    <col min="10765" max="10765" width="27.44140625" style="4" bestFit="1" customWidth="1"/>
    <col min="10766" max="11002" width="8.88671875" style="4"/>
    <col min="11003" max="11003" width="0.88671875" style="4" customWidth="1"/>
    <col min="11004" max="11017" width="13.6640625" style="4" customWidth="1"/>
    <col min="11018" max="11018" width="3.88671875" style="4" customWidth="1"/>
    <col min="11019" max="11020" width="8.88671875" style="4"/>
    <col min="11021" max="11021" width="27.44140625" style="4" bestFit="1" customWidth="1"/>
    <col min="11022" max="11258" width="8.88671875" style="4"/>
    <col min="11259" max="11259" width="0.88671875" style="4" customWidth="1"/>
    <col min="11260" max="11273" width="13.6640625" style="4" customWidth="1"/>
    <col min="11274" max="11274" width="3.88671875" style="4" customWidth="1"/>
    <col min="11275" max="11276" width="8.88671875" style="4"/>
    <col min="11277" max="11277" width="27.44140625" style="4" bestFit="1" customWidth="1"/>
    <col min="11278" max="11514" width="8.88671875" style="4"/>
    <col min="11515" max="11515" width="0.88671875" style="4" customWidth="1"/>
    <col min="11516" max="11529" width="13.6640625" style="4" customWidth="1"/>
    <col min="11530" max="11530" width="3.88671875" style="4" customWidth="1"/>
    <col min="11531" max="11532" width="8.88671875" style="4"/>
    <col min="11533" max="11533" width="27.44140625" style="4" bestFit="1" customWidth="1"/>
    <col min="11534" max="11770" width="8.88671875" style="4"/>
    <col min="11771" max="11771" width="0.88671875" style="4" customWidth="1"/>
    <col min="11772" max="11785" width="13.6640625" style="4" customWidth="1"/>
    <col min="11786" max="11786" width="3.88671875" style="4" customWidth="1"/>
    <col min="11787" max="11788" width="8.88671875" style="4"/>
    <col min="11789" max="11789" width="27.44140625" style="4" bestFit="1" customWidth="1"/>
    <col min="11790" max="12026" width="8.88671875" style="4"/>
    <col min="12027" max="12027" width="0.88671875" style="4" customWidth="1"/>
    <col min="12028" max="12041" width="13.6640625" style="4" customWidth="1"/>
    <col min="12042" max="12042" width="3.88671875" style="4" customWidth="1"/>
    <col min="12043" max="12044" width="8.88671875" style="4"/>
    <col min="12045" max="12045" width="27.44140625" style="4" bestFit="1" customWidth="1"/>
    <col min="12046" max="12282" width="8.88671875" style="4"/>
    <col min="12283" max="12283" width="0.88671875" style="4" customWidth="1"/>
    <col min="12284" max="12297" width="13.6640625" style="4" customWidth="1"/>
    <col min="12298" max="12298" width="3.88671875" style="4" customWidth="1"/>
    <col min="12299" max="12300" width="8.88671875" style="4"/>
    <col min="12301" max="12301" width="27.44140625" style="4" bestFit="1" customWidth="1"/>
    <col min="12302" max="12538" width="8.88671875" style="4"/>
    <col min="12539" max="12539" width="0.88671875" style="4" customWidth="1"/>
    <col min="12540" max="12553" width="13.6640625" style="4" customWidth="1"/>
    <col min="12554" max="12554" width="3.88671875" style="4" customWidth="1"/>
    <col min="12555" max="12556" width="8.88671875" style="4"/>
    <col min="12557" max="12557" width="27.44140625" style="4" bestFit="1" customWidth="1"/>
    <col min="12558" max="12794" width="8.88671875" style="4"/>
    <col min="12795" max="12795" width="0.88671875" style="4" customWidth="1"/>
    <col min="12796" max="12809" width="13.6640625" style="4" customWidth="1"/>
    <col min="12810" max="12810" width="3.88671875" style="4" customWidth="1"/>
    <col min="12811" max="12812" width="8.88671875" style="4"/>
    <col min="12813" max="12813" width="27.44140625" style="4" bestFit="1" customWidth="1"/>
    <col min="12814" max="13050" width="8.88671875" style="4"/>
    <col min="13051" max="13051" width="0.88671875" style="4" customWidth="1"/>
    <col min="13052" max="13065" width="13.6640625" style="4" customWidth="1"/>
    <col min="13066" max="13066" width="3.88671875" style="4" customWidth="1"/>
    <col min="13067" max="13068" width="8.88671875" style="4"/>
    <col min="13069" max="13069" width="27.44140625" style="4" bestFit="1" customWidth="1"/>
    <col min="13070" max="13306" width="8.88671875" style="4"/>
    <col min="13307" max="13307" width="0.88671875" style="4" customWidth="1"/>
    <col min="13308" max="13321" width="13.6640625" style="4" customWidth="1"/>
    <col min="13322" max="13322" width="3.88671875" style="4" customWidth="1"/>
    <col min="13323" max="13324" width="8.88671875" style="4"/>
    <col min="13325" max="13325" width="27.44140625" style="4" bestFit="1" customWidth="1"/>
    <col min="13326" max="13562" width="8.88671875" style="4"/>
    <col min="13563" max="13563" width="0.88671875" style="4" customWidth="1"/>
    <col min="13564" max="13577" width="13.6640625" style="4" customWidth="1"/>
    <col min="13578" max="13578" width="3.88671875" style="4" customWidth="1"/>
    <col min="13579" max="13580" width="8.88671875" style="4"/>
    <col min="13581" max="13581" width="27.44140625" style="4" bestFit="1" customWidth="1"/>
    <col min="13582" max="13818" width="8.88671875" style="4"/>
    <col min="13819" max="13819" width="0.88671875" style="4" customWidth="1"/>
    <col min="13820" max="13833" width="13.6640625" style="4" customWidth="1"/>
    <col min="13834" max="13834" width="3.88671875" style="4" customWidth="1"/>
    <col min="13835" max="13836" width="8.88671875" style="4"/>
    <col min="13837" max="13837" width="27.44140625" style="4" bestFit="1" customWidth="1"/>
    <col min="13838" max="14074" width="8.88671875" style="4"/>
    <col min="14075" max="14075" width="0.88671875" style="4" customWidth="1"/>
    <col min="14076" max="14089" width="13.6640625" style="4" customWidth="1"/>
    <col min="14090" max="14090" width="3.88671875" style="4" customWidth="1"/>
    <col min="14091" max="14092" width="8.88671875" style="4"/>
    <col min="14093" max="14093" width="27.44140625" style="4" bestFit="1" customWidth="1"/>
    <col min="14094" max="14330" width="8.88671875" style="4"/>
    <col min="14331" max="14331" width="0.88671875" style="4" customWidth="1"/>
    <col min="14332" max="14345" width="13.6640625" style="4" customWidth="1"/>
    <col min="14346" max="14346" width="3.88671875" style="4" customWidth="1"/>
    <col min="14347" max="14348" width="8.88671875" style="4"/>
    <col min="14349" max="14349" width="27.44140625" style="4" bestFit="1" customWidth="1"/>
    <col min="14350" max="14586" width="8.88671875" style="4"/>
    <col min="14587" max="14587" width="0.88671875" style="4" customWidth="1"/>
    <col min="14588" max="14601" width="13.6640625" style="4" customWidth="1"/>
    <col min="14602" max="14602" width="3.88671875" style="4" customWidth="1"/>
    <col min="14603" max="14604" width="8.88671875" style="4"/>
    <col min="14605" max="14605" width="27.44140625" style="4" bestFit="1" customWidth="1"/>
    <col min="14606" max="14842" width="8.88671875" style="4"/>
    <col min="14843" max="14843" width="0.88671875" style="4" customWidth="1"/>
    <col min="14844" max="14857" width="13.6640625" style="4" customWidth="1"/>
    <col min="14858" max="14858" width="3.88671875" style="4" customWidth="1"/>
    <col min="14859" max="14860" width="8.88671875" style="4"/>
    <col min="14861" max="14861" width="27.44140625" style="4" bestFit="1" customWidth="1"/>
    <col min="14862" max="15098" width="8.88671875" style="4"/>
    <col min="15099" max="15099" width="0.88671875" style="4" customWidth="1"/>
    <col min="15100" max="15113" width="13.6640625" style="4" customWidth="1"/>
    <col min="15114" max="15114" width="3.88671875" style="4" customWidth="1"/>
    <col min="15115" max="15116" width="8.88671875" style="4"/>
    <col min="15117" max="15117" width="27.44140625" style="4" bestFit="1" customWidth="1"/>
    <col min="15118" max="15354" width="8.88671875" style="4"/>
    <col min="15355" max="15355" width="0.88671875" style="4" customWidth="1"/>
    <col min="15356" max="15369" width="13.6640625" style="4" customWidth="1"/>
    <col min="15370" max="15370" width="3.88671875" style="4" customWidth="1"/>
    <col min="15371" max="15372" width="8.88671875" style="4"/>
    <col min="15373" max="15373" width="27.44140625" style="4" bestFit="1" customWidth="1"/>
    <col min="15374" max="15610" width="8.88671875" style="4"/>
    <col min="15611" max="15611" width="0.88671875" style="4" customWidth="1"/>
    <col min="15612" max="15625" width="13.6640625" style="4" customWidth="1"/>
    <col min="15626" max="15626" width="3.88671875" style="4" customWidth="1"/>
    <col min="15627" max="15628" width="8.88671875" style="4"/>
    <col min="15629" max="15629" width="27.44140625" style="4" bestFit="1" customWidth="1"/>
    <col min="15630" max="15866" width="8.88671875" style="4"/>
    <col min="15867" max="15867" width="0.88671875" style="4" customWidth="1"/>
    <col min="15868" max="15881" width="13.6640625" style="4" customWidth="1"/>
    <col min="15882" max="15882" width="3.88671875" style="4" customWidth="1"/>
    <col min="15883" max="15884" width="8.88671875" style="4"/>
    <col min="15885" max="15885" width="27.44140625" style="4" bestFit="1" customWidth="1"/>
    <col min="15886" max="16122" width="8.88671875" style="4"/>
    <col min="16123" max="16123" width="0.88671875" style="4" customWidth="1"/>
    <col min="16124" max="16137" width="13.6640625" style="4" customWidth="1"/>
    <col min="16138" max="16138" width="3.88671875" style="4" customWidth="1"/>
    <col min="16139" max="16140" width="8.88671875" style="4"/>
    <col min="16141" max="16141" width="27.44140625" style="4" bestFit="1" customWidth="1"/>
    <col min="16142" max="16384" width="8.88671875" style="4"/>
  </cols>
  <sheetData>
    <row r="1" spans="1:14" ht="25.5" customHeight="1" thickBot="1" x14ac:dyDescent="0.3">
      <c r="A1" s="1" t="s">
        <v>0</v>
      </c>
      <c r="B1" s="2"/>
      <c r="C1" s="2"/>
      <c r="D1" s="2"/>
      <c r="E1" s="2"/>
      <c r="F1" s="116"/>
      <c r="G1" s="116"/>
      <c r="H1" s="3"/>
      <c r="I1" s="122"/>
      <c r="J1" s="123"/>
      <c r="K1" s="123"/>
      <c r="L1" s="123"/>
      <c r="M1" s="123"/>
      <c r="N1" s="123"/>
    </row>
    <row r="2" spans="1:14" x14ac:dyDescent="0.25">
      <c r="A2" s="5" t="s">
        <v>1</v>
      </c>
      <c r="B2" s="6"/>
      <c r="C2" s="7"/>
      <c r="D2" s="7"/>
      <c r="E2" s="7"/>
      <c r="F2" s="120"/>
      <c r="G2" s="7"/>
      <c r="H2" s="7"/>
      <c r="I2" s="124"/>
      <c r="J2" s="124"/>
      <c r="K2" s="124"/>
      <c r="L2" s="124"/>
      <c r="M2" s="124"/>
      <c r="N2" s="125"/>
    </row>
    <row r="3" spans="1:14" s="6" customFormat="1" x14ac:dyDescent="0.25">
      <c r="A3" s="5"/>
      <c r="C3" s="190" t="s">
        <v>2</v>
      </c>
      <c r="D3" s="190"/>
      <c r="E3" s="190"/>
      <c r="F3" s="117"/>
      <c r="G3" s="117"/>
      <c r="I3" s="189" t="s">
        <v>81</v>
      </c>
      <c r="J3" s="189"/>
      <c r="K3" s="189"/>
      <c r="L3" s="189"/>
      <c r="M3" s="189"/>
      <c r="N3" s="189"/>
    </row>
    <row r="4" spans="1:14" s="6" customFormat="1" x14ac:dyDescent="0.25">
      <c r="C4" s="8">
        <v>2017</v>
      </c>
      <c r="D4" s="8">
        <v>2018</v>
      </c>
      <c r="E4" s="8">
        <v>2019</v>
      </c>
      <c r="F4" s="8"/>
      <c r="G4" s="8"/>
      <c r="H4" s="8"/>
      <c r="I4" s="126">
        <v>2020</v>
      </c>
      <c r="J4" s="126">
        <v>2021</v>
      </c>
      <c r="K4" s="127">
        <v>2022</v>
      </c>
      <c r="L4" s="127">
        <v>2023</v>
      </c>
      <c r="M4" s="127">
        <v>2024</v>
      </c>
      <c r="N4" s="127">
        <v>2025</v>
      </c>
    </row>
    <row r="5" spans="1:14" s="6" customFormat="1" x14ac:dyDescent="0.25">
      <c r="A5" s="6" t="s">
        <v>3</v>
      </c>
      <c r="C5" s="9">
        <v>44211</v>
      </c>
      <c r="D5" s="9">
        <v>43771</v>
      </c>
      <c r="E5" s="9">
        <v>47820</v>
      </c>
      <c r="F5" s="9"/>
      <c r="G5" s="143" t="s">
        <v>88</v>
      </c>
      <c r="H5" s="142">
        <f>'Assumption 1_GSKCH'!B3</f>
        <v>-0.02</v>
      </c>
      <c r="I5" s="128">
        <f>$E$5*(1+H5)</f>
        <v>46863.6</v>
      </c>
      <c r="J5" s="128">
        <f>I5*(1+$H$5)</f>
        <v>45926.328000000001</v>
      </c>
      <c r="K5" s="128">
        <f t="shared" ref="K5:M5" si="0">J5*(1+$H$5)</f>
        <v>45007.801440000003</v>
      </c>
      <c r="L5" s="128">
        <f t="shared" si="0"/>
        <v>44107.645411199999</v>
      </c>
      <c r="M5" s="128">
        <f t="shared" si="0"/>
        <v>43225.492502975998</v>
      </c>
      <c r="N5" s="128"/>
    </row>
    <row r="6" spans="1:14" x14ac:dyDescent="0.25">
      <c r="A6" s="10" t="s">
        <v>4</v>
      </c>
      <c r="B6" s="7"/>
      <c r="C6" s="11"/>
      <c r="D6" s="11"/>
      <c r="E6" s="11">
        <f>(E5/D5)-1</f>
        <v>9.2504169427246374E-2</v>
      </c>
      <c r="F6" s="11"/>
      <c r="G6" s="11"/>
      <c r="H6" s="12"/>
      <c r="I6" s="129"/>
      <c r="J6" s="129"/>
      <c r="K6" s="129"/>
      <c r="L6" s="129"/>
      <c r="M6" s="124"/>
      <c r="N6" s="125"/>
    </row>
    <row r="7" spans="1:14" x14ac:dyDescent="0.25">
      <c r="A7" s="7" t="s">
        <v>5</v>
      </c>
      <c r="B7" s="13"/>
      <c r="C7" s="14">
        <v>19393</v>
      </c>
      <c r="D7" s="15">
        <v>16998</v>
      </c>
      <c r="E7" s="15">
        <v>16575</v>
      </c>
      <c r="F7" s="15"/>
      <c r="G7" s="15"/>
      <c r="H7" s="16"/>
      <c r="I7" s="130">
        <f>$E$8*I5</f>
        <v>16243.5</v>
      </c>
      <c r="J7" s="130">
        <f t="shared" ref="J7:M7" si="1">$E$8*J5</f>
        <v>15918.630000000001</v>
      </c>
      <c r="K7" s="130">
        <f t="shared" si="1"/>
        <v>15600.2574</v>
      </c>
      <c r="L7" s="130">
        <f t="shared" si="1"/>
        <v>15288.252252</v>
      </c>
      <c r="M7" s="130">
        <f t="shared" si="1"/>
        <v>14982.487206959999</v>
      </c>
      <c r="N7" s="125"/>
    </row>
    <row r="8" spans="1:14" x14ac:dyDescent="0.25">
      <c r="A8" s="7" t="s">
        <v>6</v>
      </c>
      <c r="B8" s="13"/>
      <c r="C8" s="9"/>
      <c r="D8" s="17"/>
      <c r="E8" s="18">
        <f>E7/E5</f>
        <v>0.34661229611041405</v>
      </c>
      <c r="F8" s="18"/>
      <c r="G8" s="18"/>
      <c r="H8" s="16"/>
      <c r="I8" s="130"/>
      <c r="J8" s="130"/>
      <c r="K8" s="129"/>
      <c r="L8" s="129"/>
      <c r="M8" s="124"/>
      <c r="N8" s="125"/>
    </row>
    <row r="9" spans="1:14" x14ac:dyDescent="0.25">
      <c r="A9" s="19" t="s">
        <v>7</v>
      </c>
      <c r="B9" s="7"/>
      <c r="C9" s="9">
        <f t="shared" ref="C9:E9" si="2">C5-C7</f>
        <v>24818</v>
      </c>
      <c r="D9" s="9">
        <f t="shared" si="2"/>
        <v>26773</v>
      </c>
      <c r="E9" s="9">
        <f t="shared" si="2"/>
        <v>31245</v>
      </c>
      <c r="F9" s="9"/>
      <c r="G9" s="9"/>
      <c r="H9" s="20"/>
      <c r="I9" s="131">
        <f>I5-I7</f>
        <v>30620.1</v>
      </c>
      <c r="J9" s="131">
        <f t="shared" ref="J9:M9" si="3">J5-J7</f>
        <v>30007.698</v>
      </c>
      <c r="K9" s="131">
        <f t="shared" si="3"/>
        <v>29407.544040000001</v>
      </c>
      <c r="L9" s="131">
        <f t="shared" si="3"/>
        <v>28819.393159200001</v>
      </c>
      <c r="M9" s="131">
        <f t="shared" si="3"/>
        <v>28243.005296015999</v>
      </c>
      <c r="N9" s="125"/>
    </row>
    <row r="10" spans="1:14" x14ac:dyDescent="0.25">
      <c r="A10" s="7" t="s">
        <v>8</v>
      </c>
      <c r="B10" s="13"/>
      <c r="C10" s="14">
        <v>16483</v>
      </c>
      <c r="D10" s="14">
        <v>17939</v>
      </c>
      <c r="E10" s="14">
        <v>19835</v>
      </c>
      <c r="F10" s="14"/>
      <c r="G10" s="14"/>
      <c r="H10" s="20"/>
      <c r="I10" s="132">
        <f>$H$11*I5</f>
        <v>18705.573759967407</v>
      </c>
      <c r="J10" s="132">
        <f>$H$11*J5</f>
        <v>18331.462284768058</v>
      </c>
      <c r="K10" s="132">
        <f t="shared" ref="K10:M10" si="4">$H$11*K5</f>
        <v>17964.833039072699</v>
      </c>
      <c r="L10" s="132">
        <f t="shared" si="4"/>
        <v>17605.536378291243</v>
      </c>
      <c r="M10" s="132">
        <f t="shared" si="4"/>
        <v>17253.425650725418</v>
      </c>
      <c r="N10" s="125"/>
    </row>
    <row r="11" spans="1:14" x14ac:dyDescent="0.25">
      <c r="A11" s="7" t="s">
        <v>9</v>
      </c>
      <c r="B11" s="13"/>
      <c r="C11" s="21">
        <f>C10/C5</f>
        <v>0.37282576734296896</v>
      </c>
      <c r="D11" s="21">
        <f>D10/D5</f>
        <v>0.40983756368371754</v>
      </c>
      <c r="E11" s="21">
        <f>E10/E5</f>
        <v>0.41478460895023</v>
      </c>
      <c r="F11" s="21"/>
      <c r="G11" s="118" t="s">
        <v>82</v>
      </c>
      <c r="H11" s="111">
        <f>AVERAGE(C11:E11)</f>
        <v>0.3991493133256388</v>
      </c>
      <c r="I11" s="133"/>
      <c r="J11" s="133"/>
      <c r="K11" s="133"/>
      <c r="L11" s="133"/>
      <c r="M11" s="133"/>
      <c r="N11" s="125"/>
    </row>
    <row r="12" spans="1:14" s="6" customFormat="1" x14ac:dyDescent="0.25">
      <c r="A12" s="6" t="s">
        <v>10</v>
      </c>
      <c r="C12" s="9">
        <f>C9-C10</f>
        <v>8335</v>
      </c>
      <c r="D12" s="9">
        <f t="shared" ref="D12:E12" si="5">D9-D10</f>
        <v>8834</v>
      </c>
      <c r="E12" s="9">
        <f t="shared" si="5"/>
        <v>11410</v>
      </c>
      <c r="F12" s="9">
        <f>E12/E5</f>
        <v>0.23860309493935591</v>
      </c>
      <c r="G12" s="9"/>
      <c r="H12" s="20"/>
      <c r="I12" s="131">
        <f>I9-I10</f>
        <v>11914.526240032592</v>
      </c>
      <c r="J12" s="131">
        <f t="shared" ref="J12:M12" si="6">J9-J10</f>
        <v>11676.235715231942</v>
      </c>
      <c r="K12" s="131">
        <f t="shared" si="6"/>
        <v>11442.711000927302</v>
      </c>
      <c r="L12" s="131">
        <f t="shared" si="6"/>
        <v>11213.856780908758</v>
      </c>
      <c r="M12" s="131">
        <f t="shared" si="6"/>
        <v>10989.579645290582</v>
      </c>
      <c r="N12" s="134"/>
    </row>
    <row r="13" spans="1:14" x14ac:dyDescent="0.25">
      <c r="A13" s="22" t="s">
        <v>11</v>
      </c>
      <c r="B13" s="7"/>
      <c r="C13" s="23">
        <f>[1]Schedules!E21</f>
        <v>642</v>
      </c>
      <c r="D13" s="23">
        <f>[1]Schedules!F21</f>
        <v>644</v>
      </c>
      <c r="E13" s="23">
        <f>[1]Schedules!G21</f>
        <v>605</v>
      </c>
      <c r="F13" s="23"/>
      <c r="G13" s="119" t="s">
        <v>83</v>
      </c>
      <c r="H13" s="112">
        <f>AVERAGE(C13:E13)</f>
        <v>630.33333333333337</v>
      </c>
      <c r="I13" s="132">
        <f>$H$13</f>
        <v>630.33333333333337</v>
      </c>
      <c r="J13" s="132">
        <f t="shared" ref="J13:M13" si="7">$H$13</f>
        <v>630.33333333333337</v>
      </c>
      <c r="K13" s="132">
        <f t="shared" si="7"/>
        <v>630.33333333333337</v>
      </c>
      <c r="L13" s="132">
        <f t="shared" si="7"/>
        <v>630.33333333333337</v>
      </c>
      <c r="M13" s="132">
        <f t="shared" si="7"/>
        <v>630.33333333333337</v>
      </c>
      <c r="N13" s="125"/>
    </row>
    <row r="14" spans="1:14" x14ac:dyDescent="0.25">
      <c r="A14" s="22" t="s">
        <v>6</v>
      </c>
      <c r="B14" s="7"/>
      <c r="C14" s="24">
        <f t="shared" ref="C14:D14" si="8">C13/C5</f>
        <v>1.4521272986360861E-2</v>
      </c>
      <c r="D14" s="24">
        <f t="shared" si="8"/>
        <v>1.4712937789860867E-2</v>
      </c>
      <c r="E14" s="24">
        <f>E13/E5</f>
        <v>1.2651610204935174E-2</v>
      </c>
      <c r="F14" s="24"/>
      <c r="G14" s="24"/>
      <c r="H14" s="20"/>
      <c r="I14" s="135">
        <f>I13/I5</f>
        <v>1.3450382244072872E-2</v>
      </c>
      <c r="J14" s="135">
        <f t="shared" ref="J14:M14" si="9">J13/J5</f>
        <v>1.3724879840890684E-2</v>
      </c>
      <c r="K14" s="135">
        <f t="shared" si="9"/>
        <v>1.4004979429480289E-2</v>
      </c>
      <c r="L14" s="135">
        <f t="shared" si="9"/>
        <v>1.4290795336204377E-2</v>
      </c>
      <c r="M14" s="135">
        <f t="shared" si="9"/>
        <v>1.4582444220616712E-2</v>
      </c>
      <c r="N14" s="125"/>
    </row>
    <row r="15" spans="1:14" s="6" customFormat="1" x14ac:dyDescent="0.25">
      <c r="A15" s="6" t="s">
        <v>12</v>
      </c>
      <c r="C15" s="9">
        <f t="shared" ref="C15:E15" si="10">C12-C13</f>
        <v>7693</v>
      </c>
      <c r="D15" s="9">
        <f t="shared" si="10"/>
        <v>8190</v>
      </c>
      <c r="E15" s="9">
        <f t="shared" si="10"/>
        <v>10805</v>
      </c>
      <c r="F15" s="9"/>
      <c r="G15" s="9"/>
      <c r="H15" s="20"/>
      <c r="I15" s="131">
        <f>I12-I13</f>
        <v>11284.192906699258</v>
      </c>
      <c r="J15" s="131">
        <f t="shared" ref="J15:M15" si="11">J12-J13</f>
        <v>11045.902381898608</v>
      </c>
      <c r="K15" s="131">
        <f t="shared" si="11"/>
        <v>10812.377667593968</v>
      </c>
      <c r="L15" s="131">
        <f t="shared" si="11"/>
        <v>10583.523447575424</v>
      </c>
      <c r="M15" s="131">
        <f t="shared" si="11"/>
        <v>10359.246311957248</v>
      </c>
      <c r="N15" s="134"/>
    </row>
    <row r="16" spans="1:14" s="6" customFormat="1" x14ac:dyDescent="0.25">
      <c r="A16" s="7" t="s">
        <v>13</v>
      </c>
      <c r="C16" s="14">
        <v>2183</v>
      </c>
      <c r="D16" s="14">
        <v>2164</v>
      </c>
      <c r="E16" s="14">
        <v>2748</v>
      </c>
      <c r="F16" s="20" t="s">
        <v>14</v>
      </c>
      <c r="I16" s="131"/>
      <c r="J16" s="131"/>
      <c r="K16" s="134"/>
      <c r="L16" s="134"/>
      <c r="M16" s="136"/>
      <c r="N16" s="134"/>
    </row>
    <row r="17" spans="1:222" s="6" customFormat="1" x14ac:dyDescent="0.25">
      <c r="A17" s="7" t="s">
        <v>15</v>
      </c>
      <c r="C17" s="14">
        <v>0</v>
      </c>
      <c r="D17" s="14">
        <v>4</v>
      </c>
      <c r="E17" s="14">
        <v>4</v>
      </c>
      <c r="F17" s="20" t="s">
        <v>14</v>
      </c>
      <c r="I17" s="131"/>
      <c r="J17" s="131"/>
      <c r="K17" s="134"/>
      <c r="L17" s="134"/>
      <c r="M17" s="136"/>
      <c r="N17" s="134"/>
    </row>
    <row r="18" spans="1:222" s="6" customFormat="1" x14ac:dyDescent="0.25">
      <c r="A18" s="7" t="s">
        <v>16</v>
      </c>
      <c r="C18" s="14">
        <v>226</v>
      </c>
      <c r="D18" s="14">
        <v>385</v>
      </c>
      <c r="E18" s="14">
        <v>1565</v>
      </c>
      <c r="F18" s="20" t="s">
        <v>14</v>
      </c>
      <c r="I18" s="131"/>
      <c r="J18" s="131"/>
      <c r="K18" s="134"/>
      <c r="L18" s="134"/>
      <c r="M18" s="136"/>
      <c r="N18" s="134"/>
    </row>
    <row r="19" spans="1:222" s="6" customFormat="1" x14ac:dyDescent="0.25">
      <c r="A19" s="6" t="s">
        <v>17</v>
      </c>
      <c r="C19" s="9">
        <f>SUM(C15:C18)</f>
        <v>10102</v>
      </c>
      <c r="D19" s="9">
        <f t="shared" ref="D19:E19" si="12">SUM(D15:D18)</f>
        <v>10743</v>
      </c>
      <c r="E19" s="9">
        <f t="shared" si="12"/>
        <v>15122</v>
      </c>
      <c r="F19" s="9"/>
      <c r="G19" s="9"/>
      <c r="H19" s="150">
        <f>I19/I5</f>
        <v>0.24078800831987424</v>
      </c>
      <c r="I19" s="131">
        <f>I15-I16-I17-I18</f>
        <v>11284.192906699258</v>
      </c>
      <c r="J19" s="131">
        <f t="shared" ref="J19:M19" si="13">J15-J16-J17-J18</f>
        <v>11045.902381898608</v>
      </c>
      <c r="K19" s="131">
        <f t="shared" si="13"/>
        <v>10812.377667593968</v>
      </c>
      <c r="L19" s="131">
        <f t="shared" si="13"/>
        <v>10583.523447575424</v>
      </c>
      <c r="M19" s="131">
        <f t="shared" si="13"/>
        <v>10359.246311957248</v>
      </c>
      <c r="N19" s="134"/>
    </row>
    <row r="20" spans="1:222" x14ac:dyDescent="0.25">
      <c r="A20" s="7" t="s">
        <v>18</v>
      </c>
      <c r="B20" s="13"/>
      <c r="C20" s="25">
        <v>0</v>
      </c>
      <c r="D20" s="25">
        <v>0</v>
      </c>
      <c r="E20" s="25">
        <v>0</v>
      </c>
      <c r="F20" s="25"/>
      <c r="G20" s="25"/>
      <c r="H20" s="7"/>
      <c r="I20" s="124"/>
      <c r="J20" s="124"/>
      <c r="K20" s="124"/>
      <c r="L20" s="124"/>
      <c r="M20" s="124"/>
      <c r="N20" s="125"/>
    </row>
    <row r="21" spans="1:222" x14ac:dyDescent="0.25">
      <c r="A21" s="6" t="s">
        <v>19</v>
      </c>
      <c r="B21" s="13"/>
      <c r="C21" s="26">
        <f>C19-C20</f>
        <v>10102</v>
      </c>
      <c r="D21" s="26">
        <f t="shared" ref="D21:E21" si="14">D19-D20</f>
        <v>10743</v>
      </c>
      <c r="E21" s="26">
        <f t="shared" si="14"/>
        <v>15122</v>
      </c>
      <c r="F21" s="26"/>
      <c r="G21" s="26"/>
      <c r="H21" s="7"/>
      <c r="I21" s="134">
        <f>I19-I20</f>
        <v>11284.192906699258</v>
      </c>
      <c r="J21" s="134">
        <f t="shared" ref="J21:M21" si="15">J19-J20</f>
        <v>11045.902381898608</v>
      </c>
      <c r="K21" s="134">
        <f t="shared" si="15"/>
        <v>10812.377667593968</v>
      </c>
      <c r="L21" s="134">
        <f t="shared" si="15"/>
        <v>10583.523447575424</v>
      </c>
      <c r="M21" s="134">
        <f t="shared" si="15"/>
        <v>10359.246311957248</v>
      </c>
      <c r="N21" s="125"/>
    </row>
    <row r="22" spans="1:222" x14ac:dyDescent="0.25">
      <c r="A22" s="10" t="s">
        <v>20</v>
      </c>
      <c r="B22" s="7"/>
      <c r="C22" s="27"/>
      <c r="D22" s="27"/>
      <c r="E22" s="27">
        <f>E23/E21</f>
        <v>0.35015209628356037</v>
      </c>
      <c r="F22" s="27"/>
      <c r="G22" s="27"/>
      <c r="H22" s="20"/>
      <c r="I22" s="137"/>
      <c r="J22" s="124"/>
      <c r="K22" s="124"/>
      <c r="L22" s="124"/>
      <c r="M22" s="124"/>
      <c r="N22" s="125"/>
    </row>
    <row r="23" spans="1:222" x14ac:dyDescent="0.25">
      <c r="A23" s="7" t="s">
        <v>21</v>
      </c>
      <c r="B23" s="13"/>
      <c r="C23" s="25">
        <v>3537</v>
      </c>
      <c r="D23" s="25">
        <v>3743</v>
      </c>
      <c r="E23" s="25">
        <v>5295</v>
      </c>
      <c r="F23" s="25"/>
      <c r="G23" s="25"/>
      <c r="H23" s="7"/>
      <c r="I23" s="124">
        <f>$E$22*I21</f>
        <v>3951.1838011488276</v>
      </c>
      <c r="J23" s="124">
        <f t="shared" ref="J23:M23" si="16">$E$22*J21</f>
        <v>3867.7458743653701</v>
      </c>
      <c r="K23" s="124">
        <f t="shared" si="16"/>
        <v>3785.9767061175808</v>
      </c>
      <c r="L23" s="124">
        <f t="shared" si="16"/>
        <v>3705.8429212347487</v>
      </c>
      <c r="M23" s="124">
        <f t="shared" si="16"/>
        <v>3627.3118120495719</v>
      </c>
      <c r="N23" s="125"/>
    </row>
    <row r="24" spans="1:222" s="7" customFormat="1" x14ac:dyDescent="0.25">
      <c r="A24" s="6" t="s">
        <v>22</v>
      </c>
      <c r="C24" s="28">
        <f>C21*(1-C22)</f>
        <v>10102</v>
      </c>
      <c r="D24" s="28">
        <f t="shared" ref="D24:E24" si="17">D21*(1-D22)</f>
        <v>10743</v>
      </c>
      <c r="E24" s="28">
        <f t="shared" si="17"/>
        <v>9827</v>
      </c>
      <c r="F24" s="28"/>
      <c r="G24" s="28"/>
      <c r="I24" s="134">
        <f>I21-I23</f>
        <v>7333.0091055504308</v>
      </c>
      <c r="J24" s="134">
        <f t="shared" ref="J24:M24" si="18">J21-J23</f>
        <v>7178.1565075332383</v>
      </c>
      <c r="K24" s="134">
        <f t="shared" si="18"/>
        <v>7026.4009614763872</v>
      </c>
      <c r="L24" s="134">
        <f t="shared" si="18"/>
        <v>6877.680526340675</v>
      </c>
      <c r="M24" s="134">
        <f t="shared" si="18"/>
        <v>6731.9344999076757</v>
      </c>
      <c r="N24" s="124">
        <f>M24*(1+B30)</f>
        <v>6866.5731899058292</v>
      </c>
    </row>
    <row r="25" spans="1:222" x14ac:dyDescent="0.25">
      <c r="A25" s="7" t="s">
        <v>23</v>
      </c>
      <c r="B25" s="7"/>
      <c r="C25" s="29">
        <f>C13</f>
        <v>642</v>
      </c>
      <c r="D25" s="29">
        <f t="shared" ref="D25:E25" si="19">D13</f>
        <v>644</v>
      </c>
      <c r="E25" s="29">
        <f t="shared" si="19"/>
        <v>605</v>
      </c>
      <c r="F25" s="29"/>
      <c r="G25" s="29"/>
      <c r="H25" s="20"/>
      <c r="I25" s="132">
        <f>I13</f>
        <v>630.33333333333337</v>
      </c>
      <c r="J25" s="132">
        <f t="shared" ref="J25:M25" si="20">J13</f>
        <v>630.33333333333337</v>
      </c>
      <c r="K25" s="132">
        <f t="shared" si="20"/>
        <v>630.33333333333337</v>
      </c>
      <c r="L25" s="132">
        <f t="shared" si="20"/>
        <v>630.33333333333337</v>
      </c>
      <c r="M25" s="132">
        <f t="shared" si="20"/>
        <v>630.33333333333337</v>
      </c>
      <c r="N25" s="125"/>
    </row>
    <row r="26" spans="1:222" ht="26.4" x14ac:dyDescent="0.25">
      <c r="A26" s="7" t="s">
        <v>24</v>
      </c>
      <c r="B26" s="30"/>
      <c r="C26" s="31">
        <v>4874</v>
      </c>
      <c r="D26" s="31">
        <v>4755.3</v>
      </c>
      <c r="E26" s="31">
        <v>4620.7</v>
      </c>
      <c r="F26" s="31"/>
      <c r="G26" s="121" t="s">
        <v>84</v>
      </c>
      <c r="H26" s="151">
        <f>AVERAGE((((D26-C26)+D25)/D5),(((E26-D26)+E25)/E5))</f>
        <v>1.0918992473861694E-2</v>
      </c>
      <c r="I26" s="132">
        <f>$H$26*I5</f>
        <v>511.70329569806484</v>
      </c>
      <c r="J26" s="132">
        <f t="shared" ref="J26:M26" si="21">$H$26*J5</f>
        <v>501.46922978410356</v>
      </c>
      <c r="K26" s="132">
        <f t="shared" si="21"/>
        <v>491.43984518842154</v>
      </c>
      <c r="L26" s="132">
        <f t="shared" si="21"/>
        <v>481.61104828465307</v>
      </c>
      <c r="M26" s="132">
        <f t="shared" si="21"/>
        <v>471.97882731895999</v>
      </c>
      <c r="N26" s="125"/>
    </row>
    <row r="27" spans="1:222" ht="26.4" x14ac:dyDescent="0.25">
      <c r="A27" s="7" t="s">
        <v>25</v>
      </c>
      <c r="B27" s="7"/>
      <c r="C27" s="32">
        <v>25518.7</v>
      </c>
      <c r="D27" s="32">
        <v>28194.1</v>
      </c>
      <c r="E27" s="32">
        <f>[2]TN3_Schedules!D8</f>
        <v>34534.400000000001</v>
      </c>
      <c r="F27" s="32"/>
      <c r="G27" s="121" t="s">
        <v>85</v>
      </c>
      <c r="H27" s="113">
        <f>AVERAGE((C27/$C$5),(D27/$D$5),(E27/$E$5))</f>
        <v>0.64783490623165518</v>
      </c>
      <c r="I27" s="124">
        <f>$H$27*I5</f>
        <v>30359.875911677795</v>
      </c>
      <c r="J27" s="124">
        <f>$H$27*J5</f>
        <v>29752.678393444239</v>
      </c>
      <c r="K27" s="124">
        <f t="shared" ref="K27:M27" si="22">$H$27*K5</f>
        <v>29157.624825575356</v>
      </c>
      <c r="L27" s="124">
        <f t="shared" si="22"/>
        <v>28574.472329063847</v>
      </c>
      <c r="M27" s="124">
        <f t="shared" si="22"/>
        <v>28002.982882482571</v>
      </c>
      <c r="N27" s="125"/>
    </row>
    <row r="28" spans="1:222" s="6" customFormat="1" x14ac:dyDescent="0.25">
      <c r="A28" s="6" t="s">
        <v>26</v>
      </c>
      <c r="C28" s="33"/>
      <c r="D28" s="33"/>
      <c r="E28" s="33"/>
      <c r="F28" s="33"/>
      <c r="G28" s="33"/>
      <c r="I28" s="138">
        <f>I24+I25-I26-(I27-E27)</f>
        <v>11626.163231507906</v>
      </c>
      <c r="J28" s="138">
        <f>J24+J25-J26-(J27-I27)</f>
        <v>7914.2181293160229</v>
      </c>
      <c r="K28" s="138">
        <f t="shared" ref="K28:M28" si="23">K24+K25-K26-(K27-J27)</f>
        <v>7760.3480174901815</v>
      </c>
      <c r="L28" s="138">
        <f t="shared" si="23"/>
        <v>7609.5553079008641</v>
      </c>
      <c r="M28" s="138">
        <f t="shared" si="23"/>
        <v>7461.7784525033248</v>
      </c>
      <c r="N28" s="134">
        <f>M28*(1+B30)</f>
        <v>7611.0140215533911</v>
      </c>
    </row>
    <row r="29" spans="1:222" s="6" customFormat="1" x14ac:dyDescent="0.25"/>
    <row r="30" spans="1:222" s="6" customFormat="1" x14ac:dyDescent="0.25">
      <c r="A30" s="6" t="s">
        <v>27</v>
      </c>
      <c r="B30" s="34">
        <v>0.02</v>
      </c>
      <c r="C30" s="35"/>
      <c r="E30" s="7"/>
      <c r="F30" s="7"/>
      <c r="G30" s="7"/>
    </row>
    <row r="31" spans="1:222" s="7" customFormat="1" x14ac:dyDescent="0.25">
      <c r="A31" s="6" t="s">
        <v>28</v>
      </c>
      <c r="B31" s="36">
        <v>0.06</v>
      </c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</row>
    <row r="32" spans="1:222" s="7" customFormat="1" ht="15" customHeight="1" x14ac:dyDescent="0.25">
      <c r="A32" s="6" t="s">
        <v>29</v>
      </c>
      <c r="B32" s="29">
        <f>NPV(B31,I28:M28)</f>
        <v>36130.797791600613</v>
      </c>
      <c r="C32" s="37"/>
    </row>
    <row r="33" spans="1:12" s="7" customFormat="1" x14ac:dyDescent="0.25">
      <c r="A33" s="6" t="s">
        <v>30</v>
      </c>
      <c r="B33" s="29">
        <f>N28/(B31-B30)</f>
        <v>190275.35053883481</v>
      </c>
      <c r="C33" s="37"/>
    </row>
    <row r="34" spans="1:12" s="7" customFormat="1" ht="15" customHeight="1" x14ac:dyDescent="0.25">
      <c r="A34" s="6" t="s">
        <v>31</v>
      </c>
      <c r="B34" s="29">
        <f>B33/((1+B31)^6)</f>
        <v>134136.61394820584</v>
      </c>
      <c r="C34" s="37"/>
    </row>
    <row r="35" spans="1:12" s="7" customFormat="1" x14ac:dyDescent="0.25">
      <c r="A35" s="6" t="s">
        <v>32</v>
      </c>
      <c r="B35" s="39">
        <f>B34+B32</f>
        <v>170267.41173980644</v>
      </c>
    </row>
    <row r="36" spans="1:12" s="7" customFormat="1" x14ac:dyDescent="0.25">
      <c r="A36" s="6" t="s">
        <v>33</v>
      </c>
      <c r="B36" s="40">
        <v>42.06</v>
      </c>
      <c r="C36" s="37"/>
      <c r="D36" s="40"/>
      <c r="E36" s="41"/>
      <c r="F36" s="41"/>
      <c r="G36" s="41"/>
    </row>
    <row r="37" spans="1:12" s="7" customFormat="1" x14ac:dyDescent="0.25">
      <c r="A37" s="42" t="s">
        <v>34</v>
      </c>
      <c r="B37" s="43">
        <f>B35/B36</f>
        <v>4048.2028468807998</v>
      </c>
      <c r="C37" s="37"/>
      <c r="D37" s="40"/>
      <c r="E37" s="41"/>
      <c r="F37" s="41"/>
      <c r="G37" s="41"/>
    </row>
    <row r="38" spans="1:12" s="7" customFormat="1" x14ac:dyDescent="0.25">
      <c r="A38" s="42"/>
      <c r="B38" s="44"/>
      <c r="C38" s="37"/>
      <c r="D38" s="40"/>
      <c r="E38" s="41"/>
      <c r="F38" s="41"/>
      <c r="G38" s="41"/>
    </row>
    <row r="39" spans="1:12" s="49" customFormat="1" x14ac:dyDescent="0.25">
      <c r="A39" s="41"/>
      <c r="B39" s="45"/>
      <c r="C39" s="46"/>
      <c r="D39" s="47"/>
      <c r="E39" s="48"/>
      <c r="F39" s="48"/>
      <c r="G39" s="48"/>
    </row>
    <row r="40" spans="1:12" s="7" customFormat="1" x14ac:dyDescent="0.25">
      <c r="A40" s="41"/>
      <c r="B40" s="44"/>
      <c r="C40" s="37"/>
      <c r="D40" s="40"/>
      <c r="E40" s="41"/>
      <c r="F40" s="41"/>
      <c r="G40" s="41"/>
    </row>
    <row r="41" spans="1:12" s="7" customFormat="1" ht="12.6" customHeight="1" x14ac:dyDescent="0.4">
      <c r="J41" s="38"/>
      <c r="K41" s="50"/>
    </row>
    <row r="42" spans="1:12" s="6" customFormat="1" ht="14.4" customHeight="1" x14ac:dyDescent="0.25">
      <c r="A42" s="199" t="s">
        <v>35</v>
      </c>
      <c r="B42" s="199"/>
      <c r="C42" s="199"/>
      <c r="D42" s="199"/>
      <c r="E42" s="199"/>
      <c r="F42" s="115"/>
      <c r="G42" s="115"/>
      <c r="H42" s="51"/>
      <c r="I42" s="51"/>
      <c r="J42" s="38"/>
      <c r="K42" s="38"/>
      <c r="L42" s="38"/>
    </row>
    <row r="43" spans="1:12" s="7" customFormat="1" ht="15.6" x14ac:dyDescent="0.25">
      <c r="A43" s="199"/>
      <c r="B43" s="199"/>
      <c r="C43" s="199"/>
      <c r="D43" s="199"/>
      <c r="E43" s="199"/>
      <c r="F43" s="115"/>
      <c r="G43" s="115"/>
      <c r="I43" s="20"/>
      <c r="K43" s="52"/>
    </row>
    <row r="44" spans="1:12" s="7" customFormat="1" ht="15.6" x14ac:dyDescent="0.25">
      <c r="A44" s="199"/>
      <c r="B44" s="199"/>
      <c r="C44" s="199"/>
      <c r="D44" s="199"/>
      <c r="E44" s="199"/>
      <c r="F44" s="115"/>
      <c r="G44" s="115"/>
      <c r="I44" s="20"/>
      <c r="K44" s="52"/>
    </row>
    <row r="45" spans="1:12" s="7" customFormat="1" ht="14.4" customHeight="1" x14ac:dyDescent="0.25">
      <c r="A45" s="200" t="s">
        <v>36</v>
      </c>
      <c r="B45" s="194" t="s">
        <v>37</v>
      </c>
      <c r="C45" s="195"/>
      <c r="D45" s="195"/>
      <c r="E45" s="195"/>
      <c r="F45" s="139"/>
      <c r="G45" s="139"/>
      <c r="I45" s="20"/>
      <c r="K45" s="53"/>
      <c r="L45" s="53"/>
    </row>
    <row r="46" spans="1:12" s="7" customFormat="1" ht="14.4" customHeight="1" x14ac:dyDescent="0.25">
      <c r="A46" s="201"/>
      <c r="B46" s="196" t="s">
        <v>38</v>
      </c>
      <c r="C46" s="197"/>
      <c r="D46" s="197"/>
      <c r="E46" s="197"/>
      <c r="F46" s="140"/>
      <c r="G46" s="140"/>
      <c r="I46" s="20"/>
      <c r="K46" s="53"/>
      <c r="L46" s="53"/>
    </row>
    <row r="47" spans="1:12" s="7" customFormat="1" ht="12.9" customHeight="1" x14ac:dyDescent="0.25">
      <c r="A47" s="201"/>
      <c r="B47" s="54">
        <f>B37</f>
        <v>4048.2028468807998</v>
      </c>
      <c r="C47" s="55">
        <v>0.05</v>
      </c>
      <c r="D47" s="55">
        <v>0.06</v>
      </c>
      <c r="E47" s="55">
        <v>7.0000000000000007E-2</v>
      </c>
      <c r="F47" s="141"/>
      <c r="G47" s="141"/>
      <c r="H47" s="56"/>
      <c r="I47" s="56"/>
      <c r="K47" s="53"/>
      <c r="L47" s="53"/>
    </row>
    <row r="48" spans="1:12" s="7" customFormat="1" ht="12.6" customHeight="1" x14ac:dyDescent="0.25">
      <c r="A48" s="201"/>
      <c r="B48" s="57">
        <v>1.4999999999999999E-2</v>
      </c>
      <c r="C48" s="29">
        <f t="dataTable" ref="C48:E51" dt2D="1" dtr="1" r1="B31" r2="B30"/>
        <v>4720.3107384006034</v>
      </c>
      <c r="D48" s="29">
        <v>3679.9541193520736</v>
      </c>
      <c r="E48" s="29">
        <v>3019.4046835154559</v>
      </c>
      <c r="F48" s="29"/>
      <c r="G48" s="29"/>
      <c r="H48" s="56"/>
      <c r="I48" s="56"/>
      <c r="K48" s="53"/>
      <c r="L48" s="53"/>
    </row>
    <row r="49" spans="1:12" s="7" customFormat="1" x14ac:dyDescent="0.25">
      <c r="A49" s="201"/>
      <c r="B49" s="57">
        <v>0.02</v>
      </c>
      <c r="C49" s="29">
        <v>5382.2334639770907</v>
      </c>
      <c r="D49" s="29">
        <v>4048.2028468807998</v>
      </c>
      <c r="E49" s="29">
        <v>3249.3854430798842</v>
      </c>
      <c r="F49" s="29"/>
      <c r="G49" s="29"/>
      <c r="I49" s="20"/>
      <c r="K49" s="53"/>
      <c r="L49" s="53"/>
    </row>
    <row r="50" spans="1:12" s="7" customFormat="1" x14ac:dyDescent="0.25">
      <c r="A50" s="201"/>
      <c r="B50" s="57">
        <v>2.5000000000000001E-2</v>
      </c>
      <c r="C50" s="29">
        <v>6308.9252797841718</v>
      </c>
      <c r="D50" s="29">
        <v>4521.6654965605894</v>
      </c>
      <c r="E50" s="29">
        <v>3530.4730381030736</v>
      </c>
      <c r="F50" s="29"/>
      <c r="G50" s="29"/>
      <c r="H50" s="58"/>
      <c r="I50" s="20"/>
    </row>
    <row r="51" spans="1:12" s="7" customFormat="1" x14ac:dyDescent="0.25">
      <c r="A51" s="202"/>
      <c r="B51" s="57">
        <v>0.03</v>
      </c>
      <c r="C51" s="59">
        <v>7698.9630034947959</v>
      </c>
      <c r="D51" s="59">
        <v>5152.9490294669758</v>
      </c>
      <c r="E51" s="59">
        <v>3881.8325318820598</v>
      </c>
      <c r="F51" s="29"/>
      <c r="G51" s="29"/>
      <c r="I51" s="20"/>
    </row>
    <row r="52" spans="1:12" s="7" customFormat="1" x14ac:dyDescent="0.25">
      <c r="A52" s="60"/>
      <c r="B52" s="61"/>
      <c r="C52" s="29"/>
      <c r="D52" s="29"/>
      <c r="E52" s="29"/>
      <c r="F52" s="29"/>
      <c r="G52" s="29"/>
      <c r="I52" s="20"/>
    </row>
    <row r="53" spans="1:12" s="7" customFormat="1" x14ac:dyDescent="0.25">
      <c r="A53" s="60"/>
      <c r="B53" s="61"/>
      <c r="C53" s="29"/>
      <c r="D53" s="29"/>
      <c r="E53" s="29"/>
      <c r="F53" s="29"/>
      <c r="G53" s="29"/>
      <c r="I53" s="20"/>
    </row>
    <row r="54" spans="1:12" s="7" customFormat="1" ht="14.4" customHeight="1" x14ac:dyDescent="0.25">
      <c r="A54" s="191" t="s">
        <v>39</v>
      </c>
      <c r="B54" s="194" t="s">
        <v>37</v>
      </c>
      <c r="C54" s="195"/>
      <c r="D54" s="195"/>
      <c r="E54" s="195"/>
      <c r="F54" s="139"/>
      <c r="G54" s="139"/>
      <c r="K54" s="62"/>
    </row>
    <row r="55" spans="1:12" s="7" customFormat="1" ht="14.4" customHeight="1" x14ac:dyDescent="0.25">
      <c r="A55" s="192"/>
      <c r="B55" s="196" t="s">
        <v>38</v>
      </c>
      <c r="C55" s="197"/>
      <c r="D55" s="197"/>
      <c r="E55" s="197"/>
      <c r="F55" s="140"/>
      <c r="G55" s="140"/>
      <c r="K55" s="62"/>
    </row>
    <row r="56" spans="1:12" s="7" customFormat="1" x14ac:dyDescent="0.25">
      <c r="A56" s="192"/>
      <c r="B56" s="63">
        <f>B37</f>
        <v>4048.2028468807998</v>
      </c>
      <c r="C56" s="55">
        <v>0.05</v>
      </c>
      <c r="D56" s="55">
        <v>0.06</v>
      </c>
      <c r="E56" s="55">
        <v>7.0000000000000007E-2</v>
      </c>
      <c r="F56" s="141"/>
      <c r="G56" s="141"/>
      <c r="I56" s="20"/>
      <c r="K56" s="64"/>
    </row>
    <row r="57" spans="1:12" s="7" customFormat="1" x14ac:dyDescent="0.25">
      <c r="A57" s="192"/>
      <c r="B57" s="57">
        <v>-0.02</v>
      </c>
      <c r="C57" s="65">
        <f t="dataTable" ref="C57:E60" dt2D="1" dtr="1" r1="B31" r2="H5" ca="1"/>
        <v>5382.2334639770907</v>
      </c>
      <c r="D57" s="29">
        <v>4048.2028468807998</v>
      </c>
      <c r="E57" s="29">
        <v>3249.3854430798842</v>
      </c>
      <c r="F57" s="29"/>
      <c r="G57" s="29"/>
      <c r="I57" s="66"/>
      <c r="K57" s="64"/>
    </row>
    <row r="58" spans="1:12" s="7" customFormat="1" x14ac:dyDescent="0.25">
      <c r="A58" s="192"/>
      <c r="B58" s="57">
        <v>-0.01</v>
      </c>
      <c r="C58" s="67">
        <v>5417.6020964925337</v>
      </c>
      <c r="D58" s="29">
        <v>4070.7613081987624</v>
      </c>
      <c r="E58" s="29">
        <v>3264.3885797021258</v>
      </c>
      <c r="F58" s="29"/>
      <c r="G58" s="29"/>
      <c r="I58" s="66"/>
      <c r="K58" s="64"/>
    </row>
    <row r="59" spans="1:12" s="7" customFormat="1" x14ac:dyDescent="0.25">
      <c r="A59" s="192"/>
      <c r="B59" s="57">
        <v>0.01</v>
      </c>
      <c r="C59" s="67">
        <v>5469.1079738188837</v>
      </c>
      <c r="D59" s="29">
        <v>4101.7682545257521</v>
      </c>
      <c r="E59" s="29">
        <v>3283.3438954020153</v>
      </c>
      <c r="F59" s="29"/>
      <c r="G59" s="29"/>
      <c r="I59" s="66"/>
      <c r="K59" s="64"/>
    </row>
    <row r="60" spans="1:12" s="7" customFormat="1" ht="12.9" customHeight="1" x14ac:dyDescent="0.25">
      <c r="A60" s="193"/>
      <c r="B60" s="68">
        <v>0.02</v>
      </c>
      <c r="C60" s="69">
        <v>5484.3879803081672</v>
      </c>
      <c r="D60" s="59">
        <v>4109.5978937728569</v>
      </c>
      <c r="E60" s="59">
        <v>3286.8191993636237</v>
      </c>
      <c r="F60" s="29"/>
      <c r="G60" s="29"/>
      <c r="I60" s="66"/>
      <c r="K60" s="64"/>
    </row>
    <row r="61" spans="1:12" s="7" customFormat="1" x14ac:dyDescent="0.25">
      <c r="A61" s="70"/>
      <c r="B61" s="70"/>
      <c r="C61" s="71"/>
      <c r="E61" s="6"/>
      <c r="F61" s="6"/>
      <c r="G61" s="6"/>
      <c r="I61" s="66"/>
      <c r="K61" s="64"/>
    </row>
    <row r="62" spans="1:12" s="7" customFormat="1" ht="12.9" customHeight="1" x14ac:dyDescent="0.25">
      <c r="A62" s="198" t="s">
        <v>40</v>
      </c>
      <c r="B62" s="198"/>
      <c r="C62" s="198"/>
      <c r="D62" s="198"/>
      <c r="E62" s="198"/>
      <c r="F62" s="114"/>
      <c r="G62" s="114"/>
    </row>
    <row r="63" spans="1:12" s="7" customFormat="1" ht="32.1" customHeight="1" x14ac:dyDescent="0.25">
      <c r="A63" s="198"/>
      <c r="B63" s="198"/>
      <c r="C63" s="198"/>
      <c r="D63" s="198"/>
      <c r="E63" s="198"/>
      <c r="F63" s="114"/>
      <c r="G63" s="114"/>
    </row>
    <row r="64" spans="1:12" s="7" customFormat="1" x14ac:dyDescent="0.25"/>
    <row r="65" spans="8:204" s="7" customFormat="1" x14ac:dyDescent="0.25"/>
    <row r="66" spans="8:204" s="7" customFormat="1" x14ac:dyDescent="0.25"/>
    <row r="67" spans="8:204" s="7" customFormat="1" x14ac:dyDescent="0.25"/>
    <row r="68" spans="8:204" s="7" customFormat="1" x14ac:dyDescent="0.25"/>
    <row r="69" spans="8:204" s="7" customFormat="1" x14ac:dyDescent="0.25"/>
    <row r="70" spans="8:204" s="7" customFormat="1" x14ac:dyDescent="0.25"/>
    <row r="71" spans="8:204" ht="11.4" x14ac:dyDescent="0.2">
      <c r="I71" s="4"/>
      <c r="J71" s="4"/>
      <c r="K71" s="4"/>
      <c r="L71" s="4"/>
      <c r="M71" s="4"/>
      <c r="N71" s="4"/>
      <c r="O71" s="4"/>
    </row>
    <row r="72" spans="8:204" s="7" customFormat="1" x14ac:dyDescent="0.25"/>
    <row r="73" spans="8:204" s="7" customFormat="1" x14ac:dyDescent="0.25"/>
    <row r="74" spans="8:204" s="7" customFormat="1" x14ac:dyDescent="0.25"/>
    <row r="75" spans="8:204" s="7" customFormat="1" x14ac:dyDescent="0.25"/>
    <row r="76" spans="8:204" s="7" customFormat="1" x14ac:dyDescent="0.25"/>
    <row r="77" spans="8:204" s="7" customFormat="1" ht="14.4" x14ac:dyDescent="0.3"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  <c r="CV77" s="72"/>
      <c r="CW77" s="72"/>
      <c r="CX77" s="72"/>
      <c r="CY77" s="72"/>
      <c r="CZ77" s="72"/>
      <c r="DA77" s="72"/>
      <c r="DB77" s="72"/>
      <c r="DC77" s="72"/>
      <c r="DD77" s="72"/>
      <c r="DE77" s="72"/>
      <c r="DF77" s="72"/>
      <c r="DG77" s="72"/>
      <c r="DH77" s="72"/>
      <c r="DI77" s="72"/>
      <c r="DJ77" s="72"/>
      <c r="DK77" s="72"/>
      <c r="DL77" s="72"/>
      <c r="DM77" s="72"/>
      <c r="DN77" s="72"/>
      <c r="DO77" s="72"/>
      <c r="DP77" s="72"/>
      <c r="DQ77" s="72"/>
      <c r="DR77" s="72"/>
      <c r="DS77" s="72"/>
      <c r="DT77" s="72"/>
      <c r="DU77" s="72"/>
      <c r="DV77" s="72"/>
      <c r="DW77" s="72"/>
      <c r="DX77" s="72"/>
      <c r="DY77" s="72"/>
      <c r="DZ77" s="72"/>
      <c r="EA77" s="72"/>
      <c r="EB77" s="72"/>
      <c r="EC77" s="72"/>
      <c r="ED77" s="72"/>
      <c r="EE77" s="72"/>
      <c r="EF77" s="72"/>
      <c r="EG77" s="72"/>
      <c r="EH77" s="72"/>
      <c r="EI77" s="72"/>
      <c r="EJ77" s="72"/>
      <c r="EK77" s="72"/>
      <c r="EL77" s="72"/>
      <c r="EM77" s="72"/>
      <c r="EN77" s="72"/>
      <c r="EO77" s="72"/>
      <c r="EP77" s="72"/>
      <c r="EQ77" s="72"/>
      <c r="ER77" s="72"/>
      <c r="ES77" s="72"/>
      <c r="ET77" s="72"/>
      <c r="EU77" s="72"/>
      <c r="EV77" s="72"/>
      <c r="EW77" s="72"/>
      <c r="EX77" s="72"/>
      <c r="EY77" s="72"/>
      <c r="EZ77" s="72"/>
      <c r="FA77" s="72"/>
      <c r="FB77" s="72"/>
      <c r="FC77" s="72"/>
      <c r="FD77" s="72"/>
      <c r="FE77" s="72"/>
      <c r="FF77" s="72"/>
      <c r="FG77" s="72"/>
      <c r="FH77" s="72"/>
      <c r="FI77" s="72"/>
      <c r="FJ77" s="72"/>
      <c r="FK77" s="72"/>
      <c r="FL77" s="72"/>
      <c r="FM77" s="72"/>
      <c r="FN77" s="72"/>
      <c r="FO77" s="72"/>
      <c r="FP77" s="72"/>
      <c r="FQ77" s="72"/>
      <c r="FR77" s="72"/>
      <c r="FS77" s="72"/>
      <c r="FT77" s="72"/>
      <c r="FU77" s="72"/>
      <c r="FV77" s="72"/>
      <c r="FW77" s="72"/>
      <c r="FX77" s="72"/>
      <c r="FY77" s="72"/>
      <c r="FZ77" s="72"/>
      <c r="GA77" s="72"/>
      <c r="GB77" s="72"/>
      <c r="GC77" s="72"/>
      <c r="GD77" s="72"/>
      <c r="GE77" s="72"/>
      <c r="GF77" s="72"/>
      <c r="GG77" s="72"/>
      <c r="GH77" s="72"/>
      <c r="GI77" s="72"/>
      <c r="GJ77" s="72"/>
      <c r="GK77" s="72"/>
      <c r="GL77" s="72"/>
      <c r="GM77" s="72"/>
      <c r="GN77" s="72"/>
      <c r="GO77" s="72"/>
      <c r="GP77" s="72"/>
      <c r="GQ77" s="72"/>
      <c r="GR77" s="72"/>
      <c r="GS77" s="72"/>
      <c r="GT77" s="72"/>
      <c r="GU77" s="72"/>
      <c r="GV77" s="72"/>
    </row>
    <row r="78" spans="8:204" ht="11.4" x14ac:dyDescent="0.2">
      <c r="I78" s="4"/>
      <c r="J78" s="4"/>
      <c r="K78" s="4"/>
      <c r="L78" s="4"/>
      <c r="M78" s="4"/>
      <c r="N78" s="4"/>
      <c r="O78" s="4"/>
    </row>
    <row r="79" spans="8:204" ht="11.4" x14ac:dyDescent="0.2">
      <c r="I79" s="4"/>
      <c r="J79" s="4"/>
      <c r="K79" s="4"/>
      <c r="L79" s="4"/>
      <c r="M79" s="4"/>
      <c r="N79" s="4"/>
      <c r="O79" s="4"/>
    </row>
    <row r="80" spans="8:204" ht="11.4" x14ac:dyDescent="0.2">
      <c r="I80" s="4"/>
      <c r="J80" s="4"/>
      <c r="K80" s="4"/>
      <c r="L80" s="4"/>
      <c r="M80" s="4"/>
      <c r="N80" s="4"/>
      <c r="O80" s="4"/>
    </row>
    <row r="81" spans="8:204" ht="11.4" x14ac:dyDescent="0.2">
      <c r="I81" s="4"/>
      <c r="J81" s="4"/>
      <c r="K81" s="4"/>
      <c r="L81" s="4"/>
      <c r="M81" s="4"/>
      <c r="N81" s="4"/>
      <c r="O81" s="4"/>
    </row>
    <row r="82" spans="8:204" ht="11.4" x14ac:dyDescent="0.2">
      <c r="I82" s="4"/>
      <c r="J82" s="4"/>
      <c r="K82" s="4"/>
      <c r="L82" s="4"/>
      <c r="M82" s="4"/>
      <c r="N82" s="4"/>
      <c r="O82" s="4"/>
    </row>
    <row r="83" spans="8:204" ht="11.4" x14ac:dyDescent="0.2">
      <c r="I83" s="4"/>
      <c r="J83" s="4"/>
      <c r="K83" s="4"/>
      <c r="L83" s="4"/>
      <c r="M83" s="4"/>
      <c r="N83" s="4"/>
      <c r="O83" s="4"/>
    </row>
    <row r="84" spans="8:204" ht="11.4" x14ac:dyDescent="0.2">
      <c r="I84" s="4"/>
      <c r="J84" s="4"/>
      <c r="K84" s="4"/>
      <c r="L84" s="4"/>
      <c r="M84" s="4"/>
      <c r="N84" s="4"/>
      <c r="O84" s="4"/>
    </row>
    <row r="85" spans="8:204" ht="11.4" x14ac:dyDescent="0.2">
      <c r="I85" s="4"/>
      <c r="J85" s="4"/>
      <c r="K85" s="4"/>
      <c r="L85" s="4"/>
      <c r="M85" s="4"/>
      <c r="N85" s="4"/>
      <c r="O85" s="4"/>
    </row>
    <row r="86" spans="8:204" ht="11.4" x14ac:dyDescent="0.2">
      <c r="I86" s="4"/>
      <c r="J86" s="4"/>
      <c r="K86" s="4"/>
      <c r="L86" s="4"/>
      <c r="M86" s="4"/>
      <c r="N86" s="4"/>
      <c r="O86" s="4"/>
    </row>
    <row r="87" spans="8:204" ht="11.4" x14ac:dyDescent="0.2">
      <c r="I87" s="4"/>
      <c r="J87" s="4"/>
      <c r="K87" s="4"/>
      <c r="L87" s="4"/>
      <c r="M87" s="4"/>
      <c r="N87" s="4"/>
      <c r="O87" s="4"/>
    </row>
    <row r="88" spans="8:204" s="7" customFormat="1" x14ac:dyDescent="0.25">
      <c r="H88" s="74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</row>
    <row r="89" spans="8:204" s="3" customFormat="1" ht="11.4" x14ac:dyDescent="0.2"/>
    <row r="90" spans="8:204" ht="11.4" x14ac:dyDescent="0.2">
      <c r="I90" s="4"/>
      <c r="J90" s="4"/>
      <c r="K90" s="4"/>
      <c r="L90" s="4"/>
      <c r="M90" s="4"/>
      <c r="N90" s="4"/>
      <c r="O90" s="4"/>
    </row>
    <row r="91" spans="8:204" ht="11.4" x14ac:dyDescent="0.2">
      <c r="I91" s="4"/>
      <c r="J91" s="4"/>
      <c r="K91" s="4"/>
      <c r="L91" s="4"/>
      <c r="M91" s="4"/>
      <c r="N91" s="4"/>
      <c r="O91" s="4"/>
    </row>
    <row r="92" spans="8:204" ht="11.4" x14ac:dyDescent="0.2">
      <c r="I92" s="4"/>
      <c r="J92" s="4"/>
      <c r="K92" s="4"/>
      <c r="L92" s="4"/>
      <c r="M92" s="4"/>
      <c r="N92" s="4"/>
      <c r="O92" s="4"/>
    </row>
    <row r="93" spans="8:204" ht="11.4" x14ac:dyDescent="0.2">
      <c r="I93" s="4"/>
      <c r="J93" s="4"/>
      <c r="K93" s="4"/>
      <c r="L93" s="4"/>
      <c r="M93" s="4"/>
      <c r="N93" s="4"/>
      <c r="O93" s="4"/>
    </row>
    <row r="94" spans="8:204" ht="11.4" x14ac:dyDescent="0.2">
      <c r="I94" s="4"/>
      <c r="J94" s="4"/>
      <c r="K94" s="4"/>
      <c r="L94" s="4"/>
      <c r="M94" s="4"/>
      <c r="N94" s="4"/>
      <c r="O94" s="4"/>
    </row>
    <row r="95" spans="8:204" ht="11.4" x14ac:dyDescent="0.2">
      <c r="I95" s="4"/>
      <c r="J95" s="4"/>
      <c r="K95" s="4"/>
      <c r="L95" s="4"/>
      <c r="M95" s="4"/>
      <c r="N95" s="4"/>
      <c r="O95" s="4"/>
    </row>
    <row r="96" spans="8:204" ht="11.4" x14ac:dyDescent="0.2">
      <c r="I96" s="4"/>
      <c r="J96" s="4"/>
      <c r="K96" s="4"/>
      <c r="L96" s="4"/>
      <c r="M96" s="4"/>
      <c r="N96" s="4"/>
      <c r="O96" s="4"/>
    </row>
    <row r="97" s="4" customFormat="1" ht="11.4" x14ac:dyDescent="0.2"/>
    <row r="98" s="4" customFormat="1" ht="11.4" x14ac:dyDescent="0.2"/>
  </sheetData>
  <mergeCells count="10">
    <mergeCell ref="A62:E63"/>
    <mergeCell ref="A42:E44"/>
    <mergeCell ref="A45:A51"/>
    <mergeCell ref="B45:E45"/>
    <mergeCell ref="B46:E46"/>
    <mergeCell ref="I3:N3"/>
    <mergeCell ref="C3:E3"/>
    <mergeCell ref="A54:A60"/>
    <mergeCell ref="B54:E54"/>
    <mergeCell ref="B55:E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"/>
  <sheetViews>
    <sheetView workbookViewId="0">
      <selection activeCell="I22" sqref="I22"/>
    </sheetView>
  </sheetViews>
  <sheetFormatPr defaultRowHeight="14.4" x14ac:dyDescent="0.3"/>
  <cols>
    <col min="1" max="1" width="48" bestFit="1" customWidth="1"/>
    <col min="2" max="2" width="11.77734375" bestFit="1" customWidth="1"/>
    <col min="3" max="5" width="10.44140625" bestFit="1" customWidth="1"/>
    <col min="6" max="6" width="14.109375" bestFit="1" customWidth="1"/>
    <col min="7" max="7" width="17.21875" customWidth="1"/>
    <col min="8" max="8" width="13" style="4" customWidth="1"/>
    <col min="9" max="13" width="10.21875" bestFit="1" customWidth="1"/>
    <col min="14" max="14" width="7.5546875" bestFit="1" customWidth="1"/>
  </cols>
  <sheetData>
    <row r="1" spans="1:14" ht="15" thickBot="1" x14ac:dyDescent="0.35">
      <c r="A1" s="1" t="s">
        <v>0</v>
      </c>
      <c r="B1" s="2"/>
      <c r="C1" s="2"/>
      <c r="D1" s="2"/>
      <c r="E1" s="2"/>
      <c r="F1" s="116"/>
      <c r="G1" s="116"/>
      <c r="H1" s="3"/>
      <c r="I1" s="122"/>
      <c r="J1" s="123"/>
      <c r="K1" s="123"/>
      <c r="L1" s="123"/>
      <c r="M1" s="123"/>
      <c r="N1" s="123"/>
    </row>
    <row r="2" spans="1:14" x14ac:dyDescent="0.3">
      <c r="A2" s="5" t="s">
        <v>1</v>
      </c>
      <c r="B2" s="6"/>
      <c r="C2" s="7"/>
      <c r="D2" s="7"/>
      <c r="E2" s="7"/>
      <c r="F2" s="120"/>
      <c r="G2" s="7"/>
      <c r="H2" s="7"/>
      <c r="I2" s="124"/>
      <c r="J2" s="124"/>
      <c r="K2" s="124"/>
      <c r="L2" s="124"/>
      <c r="M2" s="124"/>
      <c r="N2" s="125"/>
    </row>
    <row r="3" spans="1:14" x14ac:dyDescent="0.3">
      <c r="A3" s="5"/>
      <c r="B3" s="6"/>
      <c r="C3" s="190" t="s">
        <v>2</v>
      </c>
      <c r="D3" s="190"/>
      <c r="E3" s="190"/>
      <c r="F3" s="117"/>
      <c r="G3" s="117"/>
      <c r="H3" s="6"/>
      <c r="I3" s="189" t="s">
        <v>81</v>
      </c>
      <c r="J3" s="189"/>
      <c r="K3" s="189"/>
      <c r="L3" s="189"/>
      <c r="M3" s="189"/>
      <c r="N3" s="189"/>
    </row>
    <row r="4" spans="1:14" x14ac:dyDescent="0.3">
      <c r="A4" s="6"/>
      <c r="B4" s="6"/>
      <c r="C4" s="8">
        <v>2017</v>
      </c>
      <c r="D4" s="8">
        <v>2018</v>
      </c>
      <c r="E4" s="8">
        <v>2019</v>
      </c>
      <c r="F4" s="8"/>
      <c r="G4" s="8"/>
      <c r="H4" s="8"/>
      <c r="I4" s="126">
        <v>2020</v>
      </c>
      <c r="J4" s="126">
        <v>2021</v>
      </c>
      <c r="K4" s="127">
        <v>2022</v>
      </c>
      <c r="L4" s="127">
        <v>2023</v>
      </c>
      <c r="M4" s="127">
        <v>2024</v>
      </c>
      <c r="N4" s="127">
        <v>2025</v>
      </c>
    </row>
    <row r="5" spans="1:14" ht="27" x14ac:dyDescent="0.3">
      <c r="A5" s="6" t="s">
        <v>3</v>
      </c>
      <c r="B5" s="6"/>
      <c r="C5" s="9">
        <v>44211</v>
      </c>
      <c r="D5" s="9">
        <v>43771</v>
      </c>
      <c r="E5" s="9">
        <v>47820</v>
      </c>
      <c r="F5" s="9"/>
      <c r="G5" s="170" t="s">
        <v>86</v>
      </c>
      <c r="H5" s="111">
        <v>0.11</v>
      </c>
      <c r="I5" s="128">
        <f>E5*(1+H5)</f>
        <v>53080.200000000004</v>
      </c>
      <c r="J5" s="128">
        <f>I5*(1+$H$5)</f>
        <v>58919.022000000012</v>
      </c>
      <c r="K5" s="128">
        <f t="shared" ref="K5:M5" si="0">J5*(1+$H$5)</f>
        <v>65400.11442000002</v>
      </c>
      <c r="L5" s="128">
        <f t="shared" si="0"/>
        <v>72594.127006200026</v>
      </c>
      <c r="M5" s="128">
        <f t="shared" si="0"/>
        <v>80579.480976882041</v>
      </c>
      <c r="N5" s="128"/>
    </row>
    <row r="6" spans="1:14" x14ac:dyDescent="0.3">
      <c r="A6" s="10" t="s">
        <v>4</v>
      </c>
      <c r="B6" s="7"/>
      <c r="C6" s="11"/>
      <c r="D6" s="11"/>
      <c r="E6" s="11">
        <f>(E5/D5)-1</f>
        <v>9.2504169427246374E-2</v>
      </c>
      <c r="F6" s="11"/>
      <c r="G6" s="162"/>
      <c r="H6" s="163"/>
      <c r="I6" s="152"/>
      <c r="J6" s="152"/>
      <c r="K6" s="152"/>
      <c r="L6" s="152"/>
      <c r="M6" s="153"/>
      <c r="N6" s="161"/>
    </row>
    <row r="7" spans="1:14" x14ac:dyDescent="0.3">
      <c r="A7" s="7" t="s">
        <v>5</v>
      </c>
      <c r="B7" s="13"/>
      <c r="C7" s="14">
        <v>19393</v>
      </c>
      <c r="D7" s="15">
        <v>16998</v>
      </c>
      <c r="E7" s="15">
        <v>16575</v>
      </c>
      <c r="F7" s="15"/>
      <c r="G7" s="164"/>
      <c r="H7" s="165"/>
      <c r="I7" s="154"/>
      <c r="J7" s="154"/>
      <c r="K7" s="154"/>
      <c r="L7" s="154"/>
      <c r="M7" s="154"/>
      <c r="N7" s="161"/>
    </row>
    <row r="8" spans="1:14" x14ac:dyDescent="0.3">
      <c r="A8" s="7" t="s">
        <v>6</v>
      </c>
      <c r="B8" s="13"/>
      <c r="C8" s="9"/>
      <c r="D8" s="17"/>
      <c r="E8" s="18">
        <f>E7/E5</f>
        <v>0.34661229611041405</v>
      </c>
      <c r="F8" s="18"/>
      <c r="G8" s="166"/>
      <c r="H8" s="165"/>
      <c r="I8" s="154"/>
      <c r="J8" s="154"/>
      <c r="K8" s="152"/>
      <c r="L8" s="152"/>
      <c r="M8" s="153"/>
      <c r="N8" s="161"/>
    </row>
    <row r="9" spans="1:14" x14ac:dyDescent="0.3">
      <c r="A9" s="19" t="s">
        <v>7</v>
      </c>
      <c r="B9" s="7"/>
      <c r="C9" s="9">
        <f t="shared" ref="C9:E9" si="1">C5-C7</f>
        <v>24818</v>
      </c>
      <c r="D9" s="9">
        <f t="shared" si="1"/>
        <v>26773</v>
      </c>
      <c r="E9" s="9">
        <f t="shared" si="1"/>
        <v>31245</v>
      </c>
      <c r="F9" s="9"/>
      <c r="G9" s="167"/>
      <c r="H9" s="168"/>
      <c r="I9" s="155"/>
      <c r="J9" s="155"/>
      <c r="K9" s="155"/>
      <c r="L9" s="155"/>
      <c r="M9" s="155"/>
      <c r="N9" s="161"/>
    </row>
    <row r="10" spans="1:14" x14ac:dyDescent="0.3">
      <c r="A10" s="7" t="s">
        <v>8</v>
      </c>
      <c r="B10" s="13"/>
      <c r="C10" s="14">
        <v>16483</v>
      </c>
      <c r="D10" s="14">
        <v>17939</v>
      </c>
      <c r="E10" s="14">
        <v>19835</v>
      </c>
      <c r="F10" s="14"/>
      <c r="G10" s="169"/>
      <c r="H10" s="168"/>
      <c r="I10" s="156"/>
      <c r="J10" s="156"/>
      <c r="K10" s="156"/>
      <c r="L10" s="156"/>
      <c r="M10" s="156"/>
      <c r="N10" s="161"/>
    </row>
    <row r="11" spans="1:14" x14ac:dyDescent="0.3">
      <c r="A11" s="7" t="s">
        <v>9</v>
      </c>
      <c r="B11" s="13"/>
      <c r="C11" s="21">
        <f>C10/C5</f>
        <v>0.37282576734296896</v>
      </c>
      <c r="D11" s="21">
        <f>D10/D5</f>
        <v>0.40983756368371754</v>
      </c>
      <c r="E11" s="21">
        <f>E10/E5</f>
        <v>0.41478460895023</v>
      </c>
      <c r="F11" s="21"/>
      <c r="G11" s="118" t="s">
        <v>82</v>
      </c>
      <c r="H11" s="111">
        <f>AVERAGE(C11:E11)</f>
        <v>0.3991493133256388</v>
      </c>
      <c r="I11" s="157"/>
      <c r="J11" s="157"/>
      <c r="K11" s="157"/>
      <c r="L11" s="157"/>
      <c r="M11" s="157"/>
      <c r="N11" s="161"/>
    </row>
    <row r="12" spans="1:14" x14ac:dyDescent="0.3">
      <c r="A12" s="6" t="s">
        <v>10</v>
      </c>
      <c r="B12" s="6"/>
      <c r="C12" s="9">
        <f>C9-C10</f>
        <v>8335</v>
      </c>
      <c r="D12" s="9">
        <f t="shared" ref="D12:E12" si="2">D9-D10</f>
        <v>8834</v>
      </c>
      <c r="E12" s="9">
        <f t="shared" si="2"/>
        <v>11410</v>
      </c>
      <c r="F12" s="9"/>
      <c r="G12" s="9"/>
      <c r="H12" s="20"/>
      <c r="I12" s="155"/>
      <c r="J12" s="155"/>
      <c r="K12" s="155"/>
      <c r="L12" s="155"/>
      <c r="M12" s="155"/>
      <c r="N12" s="149"/>
    </row>
    <row r="13" spans="1:14" x14ac:dyDescent="0.3">
      <c r="A13" s="22" t="s">
        <v>11</v>
      </c>
      <c r="B13" s="7"/>
      <c r="C13" s="23">
        <f>[1]Schedules!E21</f>
        <v>642</v>
      </c>
      <c r="D13" s="23">
        <f>[1]Schedules!F21</f>
        <v>644</v>
      </c>
      <c r="E13" s="23">
        <f>[1]Schedules!G21</f>
        <v>605</v>
      </c>
      <c r="F13" s="23"/>
      <c r="G13" s="119" t="s">
        <v>83</v>
      </c>
      <c r="H13" s="112">
        <f>AVERAGE(C13:E13)</f>
        <v>630.33333333333337</v>
      </c>
      <c r="I13" s="156"/>
      <c r="J13" s="156"/>
      <c r="K13" s="156"/>
      <c r="L13" s="156"/>
      <c r="M13" s="156"/>
      <c r="N13" s="161"/>
    </row>
    <row r="14" spans="1:14" x14ac:dyDescent="0.3">
      <c r="A14" s="22" t="s">
        <v>6</v>
      </c>
      <c r="B14" s="7"/>
      <c r="C14" s="24">
        <f t="shared" ref="C14:D14" si="3">C13/C5</f>
        <v>1.4521272986360861E-2</v>
      </c>
      <c r="D14" s="24">
        <f t="shared" si="3"/>
        <v>1.4712937789860867E-2</v>
      </c>
      <c r="E14" s="24">
        <f>E13/E5</f>
        <v>1.2651610204935174E-2</v>
      </c>
      <c r="F14" s="24"/>
      <c r="G14" s="24"/>
      <c r="H14" s="20"/>
      <c r="I14" s="158"/>
      <c r="J14" s="158"/>
      <c r="K14" s="158"/>
      <c r="L14" s="158"/>
      <c r="M14" s="158"/>
      <c r="N14" s="161"/>
    </row>
    <row r="15" spans="1:14" x14ac:dyDescent="0.3">
      <c r="A15" s="6" t="s">
        <v>12</v>
      </c>
      <c r="B15" s="6"/>
      <c r="C15" s="9">
        <f t="shared" ref="C15:E15" si="4">C12-C13</f>
        <v>7693</v>
      </c>
      <c r="D15" s="9">
        <f t="shared" si="4"/>
        <v>8190</v>
      </c>
      <c r="E15" s="9">
        <f t="shared" si="4"/>
        <v>10805</v>
      </c>
      <c r="F15" s="9"/>
      <c r="G15" s="9"/>
      <c r="H15" s="20"/>
      <c r="I15" s="155"/>
      <c r="J15" s="155"/>
      <c r="K15" s="155"/>
      <c r="L15" s="155"/>
      <c r="M15" s="155"/>
      <c r="N15" s="149"/>
    </row>
    <row r="16" spans="1:14" x14ac:dyDescent="0.3">
      <c r="A16" s="7" t="s">
        <v>13</v>
      </c>
      <c r="B16" s="6"/>
      <c r="C16" s="14">
        <v>2183</v>
      </c>
      <c r="D16" s="14">
        <v>2164</v>
      </c>
      <c r="E16" s="14">
        <v>2748</v>
      </c>
      <c r="F16" s="20" t="s">
        <v>14</v>
      </c>
      <c r="G16" s="6"/>
      <c r="H16" s="6"/>
      <c r="I16" s="155"/>
      <c r="J16" s="155"/>
      <c r="K16" s="159"/>
      <c r="L16" s="159"/>
      <c r="M16" s="160"/>
      <c r="N16" s="149"/>
    </row>
    <row r="17" spans="1:14" x14ac:dyDescent="0.3">
      <c r="A17" s="7" t="s">
        <v>15</v>
      </c>
      <c r="B17" s="6"/>
      <c r="C17" s="14">
        <v>0</v>
      </c>
      <c r="D17" s="14">
        <v>4</v>
      </c>
      <c r="E17" s="14">
        <v>4</v>
      </c>
      <c r="F17" s="20" t="s">
        <v>14</v>
      </c>
      <c r="G17" s="6"/>
      <c r="H17" s="6"/>
      <c r="I17" s="155"/>
      <c r="J17" s="155"/>
      <c r="K17" s="159"/>
      <c r="L17" s="159"/>
      <c r="M17" s="160"/>
      <c r="N17" s="149"/>
    </row>
    <row r="18" spans="1:14" x14ac:dyDescent="0.3">
      <c r="A18" s="7" t="s">
        <v>16</v>
      </c>
      <c r="B18" s="6"/>
      <c r="C18" s="14">
        <v>226</v>
      </c>
      <c r="D18" s="14">
        <v>385</v>
      </c>
      <c r="E18" s="14">
        <v>1565</v>
      </c>
      <c r="F18" s="20" t="s">
        <v>14</v>
      </c>
      <c r="G18" s="6"/>
      <c r="H18" s="6"/>
      <c r="I18" s="155"/>
      <c r="J18" s="155"/>
      <c r="K18" s="159"/>
      <c r="L18" s="159"/>
      <c r="M18" s="160"/>
      <c r="N18" s="149"/>
    </row>
    <row r="19" spans="1:14" s="148" customFormat="1" x14ac:dyDescent="0.3">
      <c r="A19" s="144" t="s">
        <v>17</v>
      </c>
      <c r="B19" s="144"/>
      <c r="C19" s="145">
        <f>SUM(C15:C18)</f>
        <v>10102</v>
      </c>
      <c r="D19" s="145">
        <f t="shared" ref="D19:E19" si="5">SUM(D15:D18)</f>
        <v>10743</v>
      </c>
      <c r="E19" s="145">
        <f t="shared" si="5"/>
        <v>15122</v>
      </c>
      <c r="F19" s="145"/>
      <c r="G19" s="143" t="s">
        <v>87</v>
      </c>
      <c r="H19" s="113">
        <v>0.31</v>
      </c>
      <c r="I19" s="146">
        <f>$H$19*I5</f>
        <v>16454.862000000001</v>
      </c>
      <c r="J19" s="146">
        <f t="shared" ref="J19:M19" si="6">$H$19*J5</f>
        <v>18264.896820000002</v>
      </c>
      <c r="K19" s="146">
        <f t="shared" si="6"/>
        <v>20274.035470200008</v>
      </c>
      <c r="L19" s="146">
        <f t="shared" si="6"/>
        <v>22504.179371922008</v>
      </c>
      <c r="M19" s="146">
        <f t="shared" si="6"/>
        <v>24979.639102833433</v>
      </c>
      <c r="N19" s="147"/>
    </row>
    <row r="20" spans="1:14" x14ac:dyDescent="0.3">
      <c r="A20" s="7" t="s">
        <v>18</v>
      </c>
      <c r="B20" s="13"/>
      <c r="C20" s="25">
        <v>0</v>
      </c>
      <c r="D20" s="25">
        <v>0</v>
      </c>
      <c r="E20" s="25">
        <v>0</v>
      </c>
      <c r="F20" s="25"/>
      <c r="G20" s="25"/>
      <c r="H20" s="7"/>
      <c r="I20" s="124"/>
      <c r="J20" s="124"/>
      <c r="K20" s="124"/>
      <c r="L20" s="124"/>
      <c r="M20" s="124"/>
      <c r="N20" s="125"/>
    </row>
    <row r="21" spans="1:14" x14ac:dyDescent="0.3">
      <c r="A21" s="6" t="s">
        <v>19</v>
      </c>
      <c r="B21" s="13"/>
      <c r="C21" s="26">
        <f>C19-C20</f>
        <v>10102</v>
      </c>
      <c r="D21" s="26">
        <f t="shared" ref="D21:E21" si="7">D19-D20</f>
        <v>10743</v>
      </c>
      <c r="E21" s="26">
        <f t="shared" si="7"/>
        <v>15122</v>
      </c>
      <c r="F21" s="26"/>
      <c r="G21" s="26"/>
      <c r="H21" s="7"/>
      <c r="I21" s="134">
        <f>I19-I20</f>
        <v>16454.862000000001</v>
      </c>
      <c r="J21" s="134">
        <f t="shared" ref="J21:M21" si="8">J19-J20</f>
        <v>18264.896820000002</v>
      </c>
      <c r="K21" s="134">
        <f t="shared" si="8"/>
        <v>20274.035470200008</v>
      </c>
      <c r="L21" s="134">
        <f t="shared" si="8"/>
        <v>22504.179371922008</v>
      </c>
      <c r="M21" s="134">
        <f t="shared" si="8"/>
        <v>24979.639102833433</v>
      </c>
      <c r="N21" s="125"/>
    </row>
    <row r="22" spans="1:14" x14ac:dyDescent="0.3">
      <c r="A22" s="10" t="s">
        <v>20</v>
      </c>
      <c r="B22" s="7"/>
      <c r="C22" s="27"/>
      <c r="D22" s="27"/>
      <c r="E22" s="27">
        <f>E23/E21</f>
        <v>0.35015209628356037</v>
      </c>
      <c r="F22" s="27"/>
      <c r="G22" s="27"/>
      <c r="H22" s="20"/>
      <c r="I22" s="137"/>
      <c r="J22" s="124"/>
      <c r="K22" s="124"/>
      <c r="L22" s="124"/>
      <c r="M22" s="124"/>
      <c r="N22" s="125"/>
    </row>
    <row r="23" spans="1:14" x14ac:dyDescent="0.3">
      <c r="A23" s="7" t="s">
        <v>21</v>
      </c>
      <c r="B23" s="13"/>
      <c r="C23" s="25">
        <v>3537</v>
      </c>
      <c r="D23" s="25">
        <v>3743</v>
      </c>
      <c r="E23" s="25">
        <v>5295</v>
      </c>
      <c r="F23" s="25"/>
      <c r="G23" s="25"/>
      <c r="H23" s="7"/>
      <c r="I23" s="124">
        <f>$E$22*I21</f>
        <v>5761.7044233566994</v>
      </c>
      <c r="J23" s="124">
        <f t="shared" ref="J23:M23" si="9">$E$22*J21</f>
        <v>6395.4919099259359</v>
      </c>
      <c r="K23" s="124">
        <f t="shared" si="9"/>
        <v>7098.9960200177911</v>
      </c>
      <c r="L23" s="124">
        <f t="shared" si="9"/>
        <v>7879.8855822197474</v>
      </c>
      <c r="M23" s="124">
        <f t="shared" si="9"/>
        <v>8746.672996263922</v>
      </c>
      <c r="N23" s="125"/>
    </row>
    <row r="24" spans="1:14" x14ac:dyDescent="0.3">
      <c r="A24" s="6" t="s">
        <v>22</v>
      </c>
      <c r="B24" s="7"/>
      <c r="C24" s="28">
        <f>C21*(1-C22)</f>
        <v>10102</v>
      </c>
      <c r="D24" s="28">
        <f t="shared" ref="D24:E24" si="10">D21*(1-D22)</f>
        <v>10743</v>
      </c>
      <c r="E24" s="28">
        <f t="shared" si="10"/>
        <v>9827</v>
      </c>
      <c r="F24" s="28"/>
      <c r="G24" s="28"/>
      <c r="H24" s="7"/>
      <c r="I24" s="134">
        <f>I21-I23</f>
        <v>10693.157576643302</v>
      </c>
      <c r="J24" s="134">
        <f t="shared" ref="J24:M24" si="11">J21-J23</f>
        <v>11869.404910074067</v>
      </c>
      <c r="K24" s="134">
        <f t="shared" si="11"/>
        <v>13175.039450182216</v>
      </c>
      <c r="L24" s="134">
        <f t="shared" si="11"/>
        <v>14624.29378970226</v>
      </c>
      <c r="M24" s="134">
        <f t="shared" si="11"/>
        <v>16232.966106569511</v>
      </c>
      <c r="N24" s="124"/>
    </row>
    <row r="25" spans="1:14" x14ac:dyDescent="0.3">
      <c r="A25" s="7" t="s">
        <v>23</v>
      </c>
      <c r="B25" s="7"/>
      <c r="C25" s="29">
        <f>C13</f>
        <v>642</v>
      </c>
      <c r="D25" s="29">
        <f t="shared" ref="D25:E25" si="12">D13</f>
        <v>644</v>
      </c>
      <c r="E25" s="29">
        <f t="shared" si="12"/>
        <v>605</v>
      </c>
      <c r="F25" s="29"/>
      <c r="G25" s="29"/>
      <c r="H25" s="20"/>
      <c r="I25" s="132">
        <f>$H$13</f>
        <v>630.33333333333337</v>
      </c>
      <c r="J25" s="132">
        <f t="shared" ref="J25:M25" si="13">$H$13</f>
        <v>630.33333333333337</v>
      </c>
      <c r="K25" s="132">
        <f t="shared" si="13"/>
        <v>630.33333333333337</v>
      </c>
      <c r="L25" s="132">
        <f t="shared" si="13"/>
        <v>630.33333333333337</v>
      </c>
      <c r="M25" s="132">
        <f t="shared" si="13"/>
        <v>630.33333333333337</v>
      </c>
      <c r="N25" s="125"/>
    </row>
    <row r="26" spans="1:14" ht="27" x14ac:dyDescent="0.3">
      <c r="A26" s="7" t="s">
        <v>24</v>
      </c>
      <c r="B26" s="30"/>
      <c r="C26" s="31">
        <v>4874</v>
      </c>
      <c r="D26" s="31">
        <v>4755.3</v>
      </c>
      <c r="E26" s="31">
        <v>4620.7</v>
      </c>
      <c r="F26" s="31"/>
      <c r="G26" s="121" t="s">
        <v>84</v>
      </c>
      <c r="H26" s="151">
        <f>AVERAGE((((D26-C26)+D25)/D5),(((E26-D26)+E25)/E5))</f>
        <v>1.0918992473861694E-2</v>
      </c>
      <c r="I26" s="132">
        <f>$H$26*I5</f>
        <v>579.58230431107347</v>
      </c>
      <c r="J26" s="132">
        <f t="shared" ref="J26:M26" si="14">$H$26*J5</f>
        <v>643.33635778529163</v>
      </c>
      <c r="K26" s="132">
        <f t="shared" si="14"/>
        <v>714.10335714167388</v>
      </c>
      <c r="L26" s="132">
        <f t="shared" si="14"/>
        <v>792.65472642725797</v>
      </c>
      <c r="M26" s="132">
        <f t="shared" si="14"/>
        <v>879.84674633425652</v>
      </c>
      <c r="N26" s="125"/>
    </row>
    <row r="27" spans="1:14" ht="27" x14ac:dyDescent="0.3">
      <c r="A27" s="7" t="s">
        <v>25</v>
      </c>
      <c r="B27" s="7"/>
      <c r="C27" s="32">
        <v>25518.7</v>
      </c>
      <c r="D27" s="32">
        <v>28194.1</v>
      </c>
      <c r="E27" s="32">
        <f>[2]TN3_Schedules!D8</f>
        <v>34534.400000000001</v>
      </c>
      <c r="F27" s="32"/>
      <c r="G27" s="121" t="s">
        <v>85</v>
      </c>
      <c r="H27" s="113">
        <f>AVERAGE((C27/$C$5),(D27/$D$5),(E27/$E$5))</f>
        <v>0.64783490623165518</v>
      </c>
      <c r="I27" s="124">
        <f>$H$27*I5</f>
        <v>34387.206389757506</v>
      </c>
      <c r="J27" s="124">
        <f>$H$27*J5</f>
        <v>38169.799092630834</v>
      </c>
      <c r="K27" s="124">
        <f t="shared" ref="K27:M27" si="15">$H$27*K5</f>
        <v>42368.476992820229</v>
      </c>
      <c r="L27" s="124">
        <f t="shared" si="15"/>
        <v>47029.009462030459</v>
      </c>
      <c r="M27" s="124">
        <f t="shared" si="15"/>
        <v>52202.200502853819</v>
      </c>
      <c r="N27" s="125"/>
    </row>
    <row r="28" spans="1:14" x14ac:dyDescent="0.3">
      <c r="A28" s="6" t="s">
        <v>26</v>
      </c>
      <c r="B28" s="6"/>
      <c r="C28" s="33"/>
      <c r="D28" s="33"/>
      <c r="E28" s="33"/>
      <c r="F28" s="33"/>
      <c r="G28" s="33"/>
      <c r="H28" s="6"/>
      <c r="I28" s="138">
        <f>I24+I25-I26-(I27-E27)</f>
        <v>10891.102215908057</v>
      </c>
      <c r="J28" s="138">
        <f>J24+J25-J26-(J27-I27)</f>
        <v>8073.8091827487806</v>
      </c>
      <c r="K28" s="138">
        <f t="shared" ref="K28:M28" si="16">K24+K25-K26-(K27-J27)</f>
        <v>8892.5915261844802</v>
      </c>
      <c r="L28" s="138">
        <f t="shared" si="16"/>
        <v>9801.4399273981071</v>
      </c>
      <c r="M28" s="138">
        <f t="shared" si="16"/>
        <v>10810.261652745226</v>
      </c>
      <c r="N28" s="134">
        <f>M28*(1+B30)</f>
        <v>11188.620810591308</v>
      </c>
    </row>
    <row r="29" spans="1:14" x14ac:dyDescent="0.3">
      <c r="A29" s="6"/>
      <c r="B29" s="6"/>
      <c r="C29" s="6"/>
      <c r="D29" s="6"/>
      <c r="E29" s="6"/>
      <c r="F29" s="6"/>
      <c r="G29" s="6"/>
      <c r="H29" s="6"/>
    </row>
    <row r="30" spans="1:14" x14ac:dyDescent="0.3">
      <c r="A30" s="6" t="s">
        <v>27</v>
      </c>
      <c r="B30" s="34">
        <v>3.5000000000000003E-2</v>
      </c>
      <c r="C30" s="35"/>
      <c r="D30" s="6"/>
      <c r="E30" s="7"/>
      <c r="F30" s="7"/>
      <c r="G30" s="7"/>
      <c r="H30" s="6"/>
    </row>
    <row r="31" spans="1:14" x14ac:dyDescent="0.3">
      <c r="A31" s="6" t="s">
        <v>28</v>
      </c>
      <c r="B31" s="36">
        <v>0.06</v>
      </c>
      <c r="C31" s="7"/>
      <c r="D31" s="7"/>
      <c r="E31" s="7"/>
      <c r="F31" s="7"/>
      <c r="G31" s="7"/>
      <c r="H31" s="7"/>
    </row>
    <row r="32" spans="1:14" x14ac:dyDescent="0.3">
      <c r="A32" s="6" t="s">
        <v>29</v>
      </c>
      <c r="B32" s="29">
        <f>NPV(B31,I28:M28)</f>
        <v>40768.392311438125</v>
      </c>
      <c r="C32" s="37"/>
      <c r="D32" s="7"/>
      <c r="E32" s="7"/>
      <c r="F32" s="7"/>
      <c r="G32" s="7"/>
      <c r="H32" s="7"/>
    </row>
    <row r="33" spans="1:8" x14ac:dyDescent="0.3">
      <c r="A33" s="6" t="s">
        <v>30</v>
      </c>
      <c r="B33" s="29">
        <f>N28/(B31-B30)</f>
        <v>447544.83242365241</v>
      </c>
      <c r="C33" s="37"/>
      <c r="D33" s="7"/>
      <c r="E33" s="7"/>
      <c r="F33" s="7"/>
      <c r="G33" s="7"/>
      <c r="H33" s="7"/>
    </row>
    <row r="34" spans="1:8" x14ac:dyDescent="0.3">
      <c r="A34" s="6" t="s">
        <v>31</v>
      </c>
      <c r="B34" s="29">
        <f>B33/((1+B31)^6)</f>
        <v>315501.44693636236</v>
      </c>
      <c r="C34" s="37"/>
      <c r="D34" s="7"/>
      <c r="E34" s="7"/>
      <c r="F34" s="7"/>
      <c r="G34" s="7"/>
      <c r="H34" s="7"/>
    </row>
    <row r="35" spans="1:8" x14ac:dyDescent="0.3">
      <c r="A35" s="6" t="s">
        <v>32</v>
      </c>
      <c r="B35" s="39">
        <f>B34+B32</f>
        <v>356269.83924780047</v>
      </c>
      <c r="C35" s="7"/>
      <c r="D35" s="7"/>
      <c r="E35" s="7"/>
      <c r="F35" s="7"/>
      <c r="G35" s="7"/>
      <c r="H35" s="7"/>
    </row>
    <row r="36" spans="1:8" x14ac:dyDescent="0.3">
      <c r="A36" s="6" t="s">
        <v>33</v>
      </c>
      <c r="B36" s="40">
        <v>42.06</v>
      </c>
      <c r="C36" s="37"/>
      <c r="D36" s="40"/>
      <c r="E36" s="41"/>
      <c r="F36" s="41"/>
      <c r="G36" s="41"/>
      <c r="H36" s="7"/>
    </row>
    <row r="37" spans="1:8" x14ac:dyDescent="0.3">
      <c r="A37" s="42" t="s">
        <v>34</v>
      </c>
      <c r="B37" s="43">
        <f>B35/B36</f>
        <v>8470.5144852068588</v>
      </c>
      <c r="C37" s="37"/>
      <c r="D37" s="40"/>
      <c r="E37" s="41"/>
      <c r="F37" s="41"/>
      <c r="G37" s="41"/>
      <c r="H37" s="7"/>
    </row>
    <row r="38" spans="1:8" x14ac:dyDescent="0.3">
      <c r="H38" s="7"/>
    </row>
    <row r="39" spans="1:8" x14ac:dyDescent="0.3">
      <c r="H39" s="49"/>
    </row>
    <row r="40" spans="1:8" x14ac:dyDescent="0.3">
      <c r="H40" s="7"/>
    </row>
    <row r="41" spans="1:8" x14ac:dyDescent="0.3">
      <c r="A41" s="200" t="s">
        <v>36</v>
      </c>
      <c r="B41" s="194" t="s">
        <v>37</v>
      </c>
      <c r="C41" s="195"/>
      <c r="D41" s="195"/>
      <c r="E41" s="195"/>
      <c r="H41" s="7"/>
    </row>
    <row r="42" spans="1:8" ht="15" thickBot="1" x14ac:dyDescent="0.35">
      <c r="A42" s="201"/>
      <c r="B42" s="205" t="s">
        <v>38</v>
      </c>
      <c r="C42" s="206"/>
      <c r="D42" s="206"/>
      <c r="E42" s="206"/>
      <c r="H42" s="51"/>
    </row>
    <row r="43" spans="1:8" x14ac:dyDescent="0.3">
      <c r="A43" s="207"/>
      <c r="B43" s="171">
        <f>B37</f>
        <v>8470.5144852068588</v>
      </c>
      <c r="C43" s="172">
        <v>0.05</v>
      </c>
      <c r="D43" s="172">
        <v>5.5E-2</v>
      </c>
      <c r="E43" s="172">
        <v>6.5000000000000002E-2</v>
      </c>
      <c r="F43" s="172">
        <v>7.0000000000000007E-2</v>
      </c>
      <c r="G43" s="173">
        <v>7.4999999999999997E-2</v>
      </c>
      <c r="H43" s="7"/>
    </row>
    <row r="44" spans="1:8" x14ac:dyDescent="0.3">
      <c r="A44" s="207"/>
      <c r="B44" s="174">
        <v>2.5000000000000001E-2</v>
      </c>
      <c r="C44" s="29">
        <f t="dataTable" ref="C44:G48" dt2D="1" dtr="1" r1="B31" r2="B30"/>
        <v>8859.946244953966</v>
      </c>
      <c r="D44" s="29">
        <v>7351.4855611717157</v>
      </c>
      <c r="E44" s="29">
        <v>5469.852054114006</v>
      </c>
      <c r="F44">
        <v>4844.2833209214286</v>
      </c>
      <c r="G44" s="175">
        <v>4344.7519300006425</v>
      </c>
      <c r="H44" s="7"/>
    </row>
    <row r="45" spans="1:8" x14ac:dyDescent="0.3">
      <c r="A45" s="207"/>
      <c r="B45" s="174">
        <v>0.03</v>
      </c>
      <c r="C45" s="29">
        <v>10873.765282352078</v>
      </c>
      <c r="D45" s="29">
        <v>8662.5178269071439</v>
      </c>
      <c r="E45" s="29">
        <v>6139.8305557541871</v>
      </c>
      <c r="F45">
        <v>5353.315864048287</v>
      </c>
      <c r="G45" s="175">
        <v>4742.5952792996932</v>
      </c>
      <c r="H45" s="7"/>
    </row>
    <row r="46" spans="1:8" x14ac:dyDescent="0.3">
      <c r="A46" s="207"/>
      <c r="B46" s="174">
        <v>3.5000000000000003E-2</v>
      </c>
      <c r="C46" s="29">
        <v>14230.13034468226</v>
      </c>
      <c r="D46" s="29">
        <v>10629.066225510287</v>
      </c>
      <c r="E46" s="29">
        <v>7033.1352246077631</v>
      </c>
      <c r="F46">
        <v>6007.7862766399603</v>
      </c>
      <c r="G46" s="175">
        <v>5239.8994659235059</v>
      </c>
      <c r="H46" s="7"/>
    </row>
    <row r="47" spans="1:8" x14ac:dyDescent="0.3">
      <c r="A47" s="208"/>
      <c r="B47" s="174">
        <v>0.04</v>
      </c>
      <c r="C47" s="29">
        <v>20942.860469342631</v>
      </c>
      <c r="D47" s="29">
        <v>13906.646889848855</v>
      </c>
      <c r="E47" s="29">
        <v>8283.7617610027683</v>
      </c>
      <c r="F47">
        <v>6880.4134934288595</v>
      </c>
      <c r="G47" s="175">
        <v>5879.2905630112655</v>
      </c>
      <c r="H47" s="56"/>
    </row>
    <row r="48" spans="1:8" ht="15" thickBot="1" x14ac:dyDescent="0.35">
      <c r="A48" s="60"/>
      <c r="B48" s="176">
        <v>4.4999999999999998E-2</v>
      </c>
      <c r="C48" s="177">
        <v>41081.050843323705</v>
      </c>
      <c r="D48" s="177">
        <v>20461.808218525988</v>
      </c>
      <c r="E48" s="177">
        <v>10159.701565595273</v>
      </c>
      <c r="F48" s="178">
        <v>8102.0915969333146</v>
      </c>
      <c r="G48" s="179">
        <v>6731.8120257949449</v>
      </c>
      <c r="H48" s="56"/>
    </row>
    <row r="49" spans="1:8" x14ac:dyDescent="0.3">
      <c r="A49" s="60"/>
      <c r="B49" s="61"/>
      <c r="C49" s="29"/>
      <c r="D49" s="29"/>
      <c r="E49" s="29"/>
      <c r="H49" s="7"/>
    </row>
    <row r="50" spans="1:8" x14ac:dyDescent="0.3">
      <c r="A50" s="191" t="s">
        <v>39</v>
      </c>
      <c r="B50" s="194" t="s">
        <v>37</v>
      </c>
      <c r="C50" s="195"/>
      <c r="D50" s="195"/>
      <c r="E50" s="195"/>
      <c r="H50" s="58"/>
    </row>
    <row r="51" spans="1:8" ht="15" thickBot="1" x14ac:dyDescent="0.35">
      <c r="A51" s="192"/>
      <c r="B51" s="205" t="s">
        <v>38</v>
      </c>
      <c r="C51" s="206"/>
      <c r="D51" s="206"/>
      <c r="E51" s="206"/>
      <c r="H51" s="7"/>
    </row>
    <row r="52" spans="1:8" x14ac:dyDescent="0.3">
      <c r="A52" s="203"/>
      <c r="B52" s="180">
        <f>B37</f>
        <v>8470.5144852068588</v>
      </c>
      <c r="C52" s="172">
        <v>0.05</v>
      </c>
      <c r="D52" s="172">
        <v>5.5E-2</v>
      </c>
      <c r="E52" s="172">
        <v>6.5000000000000002E-2</v>
      </c>
      <c r="F52" s="172">
        <v>7.0000000000000007E-2</v>
      </c>
      <c r="G52" s="173">
        <v>7.4999999999999997E-2</v>
      </c>
      <c r="H52" s="7"/>
    </row>
    <row r="53" spans="1:8" x14ac:dyDescent="0.3">
      <c r="A53" s="203"/>
      <c r="B53" s="174">
        <v>9.5000000000000001E-2</v>
      </c>
      <c r="C53" s="65">
        <f t="dataTable" ref="C53:G57" dt2D="1" dtr="1" r1="B31" r2="H5" ca="1"/>
        <v>14163.857957777671</v>
      </c>
      <c r="D53" s="29">
        <v>10585.104114201467</v>
      </c>
      <c r="E53" s="29">
        <v>7011.2443712419372</v>
      </c>
      <c r="F53">
        <v>5992.1028470258834</v>
      </c>
      <c r="G53" s="175">
        <v>5228.8161727356846</v>
      </c>
      <c r="H53" s="7"/>
    </row>
    <row r="54" spans="1:8" x14ac:dyDescent="0.3">
      <c r="A54" s="203"/>
      <c r="B54" s="174">
        <v>0.1</v>
      </c>
      <c r="C54" s="67">
        <v>14190.221450576491</v>
      </c>
      <c r="D54" s="29">
        <v>10602.919120842746</v>
      </c>
      <c r="E54" s="29">
        <v>7020.5930258572052</v>
      </c>
      <c r="F54">
        <v>5999.0664285758894</v>
      </c>
      <c r="G54" s="175">
        <v>5234.0099811814653</v>
      </c>
      <c r="H54" s="7"/>
    </row>
    <row r="55" spans="1:8" x14ac:dyDescent="0.3">
      <c r="A55" s="203"/>
      <c r="B55" s="174">
        <v>0.105</v>
      </c>
      <c r="C55" s="67">
        <v>14212.352818246138</v>
      </c>
      <c r="D55" s="29">
        <v>10617.602990446963</v>
      </c>
      <c r="E55" s="29">
        <v>7027.909103603919</v>
      </c>
      <c r="F55">
        <v>6004.3103199914567</v>
      </c>
      <c r="G55" s="175">
        <v>5237.7182176157858</v>
      </c>
      <c r="H55" s="7"/>
    </row>
    <row r="56" spans="1:8" x14ac:dyDescent="0.3">
      <c r="A56" s="204"/>
      <c r="B56" s="174">
        <v>0.115</v>
      </c>
      <c r="C56" s="67">
        <v>14243.430632523061</v>
      </c>
      <c r="D56" s="29">
        <v>10637.218095185339</v>
      </c>
      <c r="E56" s="29">
        <v>7036.2132219763198</v>
      </c>
      <c r="F56">
        <v>6009.44539374338</v>
      </c>
      <c r="G56" s="175">
        <v>5240.5117446378108</v>
      </c>
      <c r="H56" s="7"/>
    </row>
    <row r="57" spans="1:8" ht="15" thickBot="1" x14ac:dyDescent="0.35">
      <c r="B57" s="181">
        <v>0.12</v>
      </c>
      <c r="C57" s="178">
        <v>14252.128592957388</v>
      </c>
      <c r="D57" s="178">
        <v>10641.966627814252</v>
      </c>
      <c r="E57" s="178">
        <v>7037.0841370467097</v>
      </c>
      <c r="F57" s="178">
        <v>6009.2381023973185</v>
      </c>
      <c r="G57" s="179">
        <v>5239.5125035354004</v>
      </c>
      <c r="H57" s="7"/>
    </row>
    <row r="58" spans="1:8" x14ac:dyDescent="0.3">
      <c r="H58" s="7"/>
    </row>
    <row r="59" spans="1:8" x14ac:dyDescent="0.3">
      <c r="H59" s="7"/>
    </row>
    <row r="60" spans="1:8" x14ac:dyDescent="0.3">
      <c r="H60" s="7"/>
    </row>
    <row r="61" spans="1:8" x14ac:dyDescent="0.3">
      <c r="H61" s="7"/>
    </row>
    <row r="62" spans="1:8" x14ac:dyDescent="0.3">
      <c r="H62" s="7"/>
    </row>
    <row r="63" spans="1:8" x14ac:dyDescent="0.3">
      <c r="H63" s="7"/>
    </row>
    <row r="64" spans="1:8" x14ac:dyDescent="0.3">
      <c r="H64" s="7"/>
    </row>
    <row r="65" spans="8:8" x14ac:dyDescent="0.3">
      <c r="H65" s="7"/>
    </row>
    <row r="66" spans="8:8" x14ac:dyDescent="0.3">
      <c r="H66" s="7"/>
    </row>
    <row r="67" spans="8:8" x14ac:dyDescent="0.3">
      <c r="H67" s="7"/>
    </row>
    <row r="68" spans="8:8" x14ac:dyDescent="0.3">
      <c r="H68" s="7"/>
    </row>
    <row r="69" spans="8:8" x14ac:dyDescent="0.3">
      <c r="H69" s="7"/>
    </row>
    <row r="70" spans="8:8" x14ac:dyDescent="0.3">
      <c r="H70" s="7"/>
    </row>
    <row r="72" spans="8:8" x14ac:dyDescent="0.3">
      <c r="H72" s="7"/>
    </row>
    <row r="73" spans="8:8" x14ac:dyDescent="0.3">
      <c r="H73" s="7"/>
    </row>
    <row r="74" spans="8:8" x14ac:dyDescent="0.3">
      <c r="H74" s="7"/>
    </row>
    <row r="75" spans="8:8" x14ac:dyDescent="0.3">
      <c r="H75" s="7"/>
    </row>
    <row r="76" spans="8:8" x14ac:dyDescent="0.3">
      <c r="H76" s="7"/>
    </row>
    <row r="77" spans="8:8" x14ac:dyDescent="0.3">
      <c r="H77" s="72"/>
    </row>
    <row r="88" spans="8:8" x14ac:dyDescent="0.3">
      <c r="H88" s="74"/>
    </row>
    <row r="89" spans="8:8" x14ac:dyDescent="0.3">
      <c r="H89" s="3"/>
    </row>
  </sheetData>
  <mergeCells count="8">
    <mergeCell ref="A50:A56"/>
    <mergeCell ref="B50:E50"/>
    <mergeCell ref="B51:E51"/>
    <mergeCell ref="C3:E3"/>
    <mergeCell ref="I3:N3"/>
    <mergeCell ref="A41:A47"/>
    <mergeCell ref="B41:E41"/>
    <mergeCell ref="B42:E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zoomScale="85" zoomScaleNormal="85" workbookViewId="0">
      <selection activeCell="C17" sqref="C17"/>
    </sheetView>
  </sheetViews>
  <sheetFormatPr defaultRowHeight="14.4" x14ac:dyDescent="0.3"/>
  <cols>
    <col min="1" max="1" width="28.88671875" customWidth="1"/>
    <col min="2" max="2" width="15" customWidth="1"/>
    <col min="3" max="3" width="32.88671875" customWidth="1"/>
    <col min="4" max="4" width="19" customWidth="1"/>
    <col min="5" max="5" width="21.33203125" customWidth="1"/>
    <col min="6" max="6" width="17.88671875" customWidth="1"/>
    <col min="7" max="7" width="17.5546875" customWidth="1"/>
    <col min="8" max="8" width="20.33203125" customWidth="1"/>
    <col min="9" max="9" width="15.109375" customWidth="1"/>
  </cols>
  <sheetData>
    <row r="1" spans="1:20" ht="29.25" customHeight="1" x14ac:dyDescent="0.3">
      <c r="A1" s="209" t="s">
        <v>52</v>
      </c>
      <c r="B1" s="209"/>
      <c r="C1" s="209"/>
      <c r="D1" s="209"/>
      <c r="E1" s="209"/>
      <c r="F1" s="209"/>
      <c r="G1" s="76"/>
      <c r="H1" s="76"/>
      <c r="I1" s="76"/>
    </row>
    <row r="2" spans="1:20" x14ac:dyDescent="0.3">
      <c r="A2" s="76"/>
      <c r="B2" s="76"/>
      <c r="C2" s="76"/>
      <c r="D2" s="76"/>
      <c r="E2" s="76"/>
      <c r="F2" s="76"/>
      <c r="G2" s="76"/>
      <c r="H2" s="76"/>
      <c r="I2" s="76"/>
    </row>
    <row r="3" spans="1:20" ht="26.4" x14ac:dyDescent="0.3">
      <c r="A3" s="83" t="s">
        <v>53</v>
      </c>
      <c r="B3" s="84" t="s">
        <v>54</v>
      </c>
      <c r="C3" s="84" t="s">
        <v>55</v>
      </c>
      <c r="D3" s="84" t="s">
        <v>56</v>
      </c>
      <c r="E3" s="84" t="s">
        <v>57</v>
      </c>
      <c r="F3" s="84" t="s">
        <v>58</v>
      </c>
      <c r="G3" s="84" t="s">
        <v>59</v>
      </c>
      <c r="H3" s="84" t="s">
        <v>60</v>
      </c>
      <c r="I3" s="84" t="s">
        <v>61</v>
      </c>
      <c r="M3" s="85"/>
      <c r="N3" s="86"/>
      <c r="O3" s="87"/>
      <c r="P3" s="86"/>
      <c r="Q3" s="86"/>
      <c r="R3" s="88"/>
      <c r="S3" s="86"/>
      <c r="T3" s="86"/>
    </row>
    <row r="4" spans="1:20" ht="26.4" x14ac:dyDescent="0.3">
      <c r="A4" s="89" t="s">
        <v>62</v>
      </c>
      <c r="B4" s="90">
        <f>E4+F4-G4</f>
        <v>264311.5</v>
      </c>
      <c r="C4" s="91">
        <f t="shared" ref="C4:C7" si="0">B4/I4</f>
        <v>23.423163905952208</v>
      </c>
      <c r="D4" s="91">
        <f t="shared" ref="D4:D7" si="1">B4/H4</f>
        <v>5.6400169854641984</v>
      </c>
      <c r="E4" s="92">
        <v>300131.7</v>
      </c>
      <c r="F4" s="92">
        <v>0</v>
      </c>
      <c r="G4" s="92">
        <v>35820.199999999997</v>
      </c>
      <c r="H4" s="92">
        <f>'Income statement_GSKCH'!I5</f>
        <v>46863.6</v>
      </c>
      <c r="I4" s="92">
        <f>'Income statement_GSKCH'!I15</f>
        <v>11284.192906699258</v>
      </c>
      <c r="M4" s="93"/>
      <c r="N4" s="94"/>
      <c r="O4" s="94"/>
      <c r="P4" s="94"/>
      <c r="Q4" s="94"/>
      <c r="R4" s="94"/>
      <c r="S4" s="94"/>
      <c r="T4" s="94"/>
    </row>
    <row r="5" spans="1:20" x14ac:dyDescent="0.3">
      <c r="A5" s="89" t="s">
        <v>63</v>
      </c>
      <c r="B5" s="90">
        <f t="shared" ref="B5:B7" si="2">E5+F5-G5</f>
        <v>1442835.7</v>
      </c>
      <c r="C5" s="91">
        <f t="shared" si="0"/>
        <v>24.108456966600219</v>
      </c>
      <c r="D5" s="91">
        <f t="shared" si="1"/>
        <v>11.665028418048491</v>
      </c>
      <c r="E5" s="95">
        <v>1425983</v>
      </c>
      <c r="F5" s="95">
        <v>29784.3</v>
      </c>
      <c r="G5" s="95">
        <v>12931.6</v>
      </c>
      <c r="H5" s="95">
        <v>123689</v>
      </c>
      <c r="I5" s="95">
        <f>126157.8-51503-2178.1-12629</f>
        <v>59847.7</v>
      </c>
      <c r="J5" s="96"/>
      <c r="P5" s="97"/>
      <c r="Q5" s="97"/>
      <c r="R5" s="97"/>
      <c r="S5" s="97"/>
      <c r="T5" s="97"/>
    </row>
    <row r="6" spans="1:20" x14ac:dyDescent="0.3">
      <c r="A6" s="89" t="s">
        <v>64</v>
      </c>
      <c r="B6" s="90">
        <f t="shared" si="2"/>
        <v>154419.204</v>
      </c>
      <c r="C6" s="91">
        <f t="shared" si="0"/>
        <v>21.506253864794854</v>
      </c>
      <c r="D6" s="91">
        <f t="shared" si="1"/>
        <v>4.1977709998368944</v>
      </c>
      <c r="E6" s="98">
        <v>155034.90400000001</v>
      </c>
      <c r="F6" s="95">
        <v>754.3</v>
      </c>
      <c r="G6" s="98">
        <v>1370</v>
      </c>
      <c r="H6" s="95">
        <v>36786</v>
      </c>
      <c r="I6" s="98">
        <v>7180.2</v>
      </c>
    </row>
    <row r="7" spans="1:20" x14ac:dyDescent="0.3">
      <c r="A7" s="89" t="s">
        <v>65</v>
      </c>
      <c r="B7" s="90">
        <f t="shared" si="2"/>
        <v>6347239.6899999995</v>
      </c>
      <c r="C7" s="91">
        <f t="shared" si="0"/>
        <v>22.409509584266864</v>
      </c>
      <c r="D7" s="91">
        <f t="shared" si="1"/>
        <v>3.4799366012061226</v>
      </c>
      <c r="E7" s="98">
        <v>5408117</v>
      </c>
      <c r="F7" s="98">
        <v>1030151.1000000001</v>
      </c>
      <c r="G7" s="98">
        <v>91028.41</v>
      </c>
      <c r="H7" s="98">
        <v>1823952.6800000002</v>
      </c>
      <c r="I7" s="98">
        <v>283238.67</v>
      </c>
    </row>
    <row r="9" spans="1:20" x14ac:dyDescent="0.3">
      <c r="B9" s="109" t="s">
        <v>78</v>
      </c>
      <c r="C9" s="110">
        <f>MIN(C4:C7)</f>
        <v>21.506253864794854</v>
      </c>
      <c r="D9" s="110">
        <f>MIN(D4:D7)</f>
        <v>3.4799366012061226</v>
      </c>
    </row>
    <row r="10" spans="1:20" x14ac:dyDescent="0.3">
      <c r="B10" s="109" t="s">
        <v>79</v>
      </c>
      <c r="C10" s="110">
        <f>MEDIAN(C4:C7)</f>
        <v>22.916336745109536</v>
      </c>
      <c r="D10" s="110">
        <f>MEDIAN(D4:D7)</f>
        <v>4.9188939926505464</v>
      </c>
    </row>
    <row r="11" spans="1:20" x14ac:dyDescent="0.3">
      <c r="B11" s="109" t="s">
        <v>80</v>
      </c>
      <c r="C11" s="110">
        <f>MAX(C4:C7)</f>
        <v>24.108456966600219</v>
      </c>
      <c r="D11" s="110">
        <f>MAX(D4:D7)</f>
        <v>11.665028418048491</v>
      </c>
    </row>
    <row r="12" spans="1:20" x14ac:dyDescent="0.3">
      <c r="B12" s="109" t="s">
        <v>89</v>
      </c>
      <c r="C12" s="187">
        <f>AVERAGE(C4:C7)</f>
        <v>22.861846080403538</v>
      </c>
      <c r="D12" s="187">
        <f>AVERAGE(D4:D7)</f>
        <v>6.2456882511389269</v>
      </c>
    </row>
    <row r="15" spans="1:20" x14ac:dyDescent="0.3">
      <c r="A15" s="186" t="s">
        <v>91</v>
      </c>
    </row>
    <row r="16" spans="1:20" ht="26.4" x14ac:dyDescent="0.3">
      <c r="A16" s="83" t="s">
        <v>53</v>
      </c>
      <c r="B16" s="84" t="s">
        <v>54</v>
      </c>
      <c r="C16" s="84" t="s">
        <v>55</v>
      </c>
      <c r="D16" s="84" t="s">
        <v>56</v>
      </c>
      <c r="E16" s="84" t="s">
        <v>57</v>
      </c>
      <c r="F16" s="84" t="s">
        <v>58</v>
      </c>
      <c r="G16" s="84" t="s">
        <v>59</v>
      </c>
      <c r="H16" s="84" t="s">
        <v>60</v>
      </c>
      <c r="I16" s="84" t="s">
        <v>61</v>
      </c>
    </row>
    <row r="17" spans="1:9" ht="26.4" x14ac:dyDescent="0.3">
      <c r="A17" s="89" t="s">
        <v>62</v>
      </c>
      <c r="B17" s="90">
        <f>'Assumption 2-HUL_with synergy'!B35</f>
        <v>356269.83924780047</v>
      </c>
      <c r="C17" s="91">
        <f t="shared" ref="C17:C20" si="3">B17/I17</f>
        <v>21.651341667149833</v>
      </c>
      <c r="D17" s="91">
        <f t="shared" ref="D17:D20" si="4">B17/H17</f>
        <v>6.7119159168164479</v>
      </c>
      <c r="E17" s="92">
        <v>300131.7</v>
      </c>
      <c r="F17" s="92">
        <v>0</v>
      </c>
      <c r="G17" s="92">
        <v>35820.199999999997</v>
      </c>
      <c r="H17" s="92">
        <f>'Assumption 2-HUL_with synergy'!I5</f>
        <v>53080.200000000004</v>
      </c>
      <c r="I17" s="92">
        <f>'Assumption 2-HUL_with synergy'!I19</f>
        <v>16454.862000000001</v>
      </c>
    </row>
    <row r="18" spans="1:9" x14ac:dyDescent="0.3">
      <c r="A18" s="89" t="s">
        <v>63</v>
      </c>
      <c r="B18" s="90">
        <f t="shared" ref="B18:B20" si="5">E18+F18-G18</f>
        <v>1442835.7</v>
      </c>
      <c r="C18" s="91">
        <f t="shared" si="3"/>
        <v>24.108456966600219</v>
      </c>
      <c r="D18" s="91">
        <f t="shared" si="4"/>
        <v>11.665028418048491</v>
      </c>
      <c r="E18" s="95">
        <v>1425983</v>
      </c>
      <c r="F18" s="95">
        <v>29784.3</v>
      </c>
      <c r="G18" s="95">
        <v>12931.6</v>
      </c>
      <c r="H18" s="95">
        <v>123689</v>
      </c>
      <c r="I18" s="95">
        <f>126157.8-51503-2178.1-12629</f>
        <v>59847.7</v>
      </c>
    </row>
    <row r="19" spans="1:9" x14ac:dyDescent="0.3">
      <c r="A19" s="89" t="s">
        <v>64</v>
      </c>
      <c r="B19" s="90">
        <f t="shared" si="5"/>
        <v>154419.204</v>
      </c>
      <c r="C19" s="91">
        <f t="shared" si="3"/>
        <v>21.506253864794854</v>
      </c>
      <c r="D19" s="91">
        <f t="shared" si="4"/>
        <v>4.1977709998368944</v>
      </c>
      <c r="E19" s="98">
        <v>155034.90400000001</v>
      </c>
      <c r="F19" s="95">
        <v>754.3</v>
      </c>
      <c r="G19" s="98">
        <v>1370</v>
      </c>
      <c r="H19" s="95">
        <v>36786</v>
      </c>
      <c r="I19" s="98">
        <v>7180.2</v>
      </c>
    </row>
    <row r="20" spans="1:9" x14ac:dyDescent="0.3">
      <c r="A20" s="89" t="s">
        <v>65</v>
      </c>
      <c r="B20" s="90">
        <f t="shared" si="5"/>
        <v>6347239.6899999995</v>
      </c>
      <c r="C20" s="91">
        <f t="shared" si="3"/>
        <v>22.409509584266861</v>
      </c>
      <c r="D20" s="91">
        <f t="shared" si="4"/>
        <v>3.4799366012061226</v>
      </c>
      <c r="E20" s="98">
        <v>5408117</v>
      </c>
      <c r="F20" s="98">
        <v>1030151.1000000001</v>
      </c>
      <c r="G20" s="98">
        <v>91028.41</v>
      </c>
      <c r="H20" s="98">
        <v>1823952.6800000002</v>
      </c>
      <c r="I20" s="98">
        <v>283238.67000000004</v>
      </c>
    </row>
    <row r="22" spans="1:9" x14ac:dyDescent="0.3">
      <c r="B22" s="109" t="s">
        <v>78</v>
      </c>
      <c r="C22" s="110">
        <f>MIN(C17:C20)</f>
        <v>21.506253864794854</v>
      </c>
      <c r="D22" s="110">
        <f>MIN(D17:D20)</f>
        <v>3.4799366012061226</v>
      </c>
    </row>
    <row r="23" spans="1:9" x14ac:dyDescent="0.3">
      <c r="B23" s="109" t="s">
        <v>79</v>
      </c>
      <c r="C23" s="110">
        <f>MEDIAN(C17:C20)</f>
        <v>22.030425625708347</v>
      </c>
      <c r="D23" s="110">
        <f>MEDIAN(D17:D20)</f>
        <v>5.4548434583266712</v>
      </c>
    </row>
    <row r="24" spans="1:9" x14ac:dyDescent="0.3">
      <c r="B24" s="109" t="s">
        <v>80</v>
      </c>
      <c r="C24" s="110">
        <f>MAX(C17:C20)</f>
        <v>24.108456966600219</v>
      </c>
      <c r="D24" s="110">
        <f>MAX(D17:D20)</f>
        <v>11.665028418048491</v>
      </c>
    </row>
    <row r="25" spans="1:9" x14ac:dyDescent="0.3">
      <c r="B25" s="109" t="s">
        <v>89</v>
      </c>
      <c r="C25" s="187">
        <f>AVERAGE(C17:C20)</f>
        <v>22.418890520702941</v>
      </c>
      <c r="D25" s="187">
        <f>AVERAGE(D17:D20)</f>
        <v>6.5136629839769888</v>
      </c>
    </row>
    <row r="34" spans="1:3" x14ac:dyDescent="0.3">
      <c r="A34" s="210" t="s">
        <v>66</v>
      </c>
      <c r="B34" s="210"/>
    </row>
    <row r="35" spans="1:3" x14ac:dyDescent="0.3">
      <c r="A35" s="99" t="s">
        <v>67</v>
      </c>
      <c r="B35" s="100">
        <v>47820</v>
      </c>
    </row>
    <row r="36" spans="1:3" x14ac:dyDescent="0.3">
      <c r="A36" s="99" t="s">
        <v>68</v>
      </c>
      <c r="B36" s="100">
        <v>11410</v>
      </c>
    </row>
    <row r="37" spans="1:3" x14ac:dyDescent="0.3">
      <c r="A37" s="99" t="s">
        <v>90</v>
      </c>
      <c r="B37" s="100">
        <f>0.32*H4</f>
        <v>14996.351999999999</v>
      </c>
      <c r="C37" t="s">
        <v>72</v>
      </c>
    </row>
    <row r="38" spans="1:3" x14ac:dyDescent="0.3">
      <c r="A38" s="99" t="s">
        <v>69</v>
      </c>
      <c r="B38" s="101">
        <v>35820.199999999997</v>
      </c>
    </row>
    <row r="39" spans="1:3" x14ac:dyDescent="0.3">
      <c r="A39" s="99" t="s">
        <v>70</v>
      </c>
      <c r="B39" s="99">
        <v>0</v>
      </c>
    </row>
    <row r="40" spans="1:3" x14ac:dyDescent="0.3">
      <c r="A40" s="99" t="s">
        <v>71</v>
      </c>
      <c r="B40" s="99">
        <v>42.06</v>
      </c>
    </row>
    <row r="41" spans="1:3" x14ac:dyDescent="0.3">
      <c r="A41" s="184"/>
      <c r="B41" s="185"/>
    </row>
    <row r="44" spans="1:3" x14ac:dyDescent="0.3">
      <c r="A44" s="103" t="s">
        <v>74</v>
      </c>
      <c r="B44" s="102"/>
      <c r="C44" s="108" t="s">
        <v>73</v>
      </c>
    </row>
    <row r="45" spans="1:3" x14ac:dyDescent="0.3">
      <c r="A45" s="104" t="s">
        <v>55</v>
      </c>
      <c r="B45" s="182">
        <f>C12</f>
        <v>22.861846080403538</v>
      </c>
      <c r="C45" s="105">
        <f>(B45*I4)/B40</f>
        <v>6133.5587583105043</v>
      </c>
    </row>
    <row r="46" spans="1:3" x14ac:dyDescent="0.3">
      <c r="A46" s="104" t="s">
        <v>56</v>
      </c>
      <c r="B46" s="182">
        <f>D12</f>
        <v>6.2456882511389269</v>
      </c>
      <c r="C46" s="105">
        <f>(B46*H4)/B40</f>
        <v>6958.9975255842655</v>
      </c>
    </row>
    <row r="47" spans="1:3" x14ac:dyDescent="0.3">
      <c r="A47" s="104" t="s">
        <v>75</v>
      </c>
      <c r="B47" s="183">
        <f>C25</f>
        <v>22.418890520702941</v>
      </c>
      <c r="C47" s="105">
        <f>(B17-0)/B40</f>
        <v>8470.5144852068588</v>
      </c>
    </row>
    <row r="48" spans="1:3" x14ac:dyDescent="0.3">
      <c r="A48" s="99" t="s">
        <v>76</v>
      </c>
      <c r="B48" s="99"/>
      <c r="C48" s="106">
        <f>'Assumption 2-HUL_with synergy'!B37</f>
        <v>8470.5144852068588</v>
      </c>
    </row>
    <row r="49" spans="1:3" x14ac:dyDescent="0.3">
      <c r="A49" s="99" t="s">
        <v>77</v>
      </c>
      <c r="B49" s="99"/>
      <c r="C49" s="107">
        <f>'Income statement_GSKCH'!B37</f>
        <v>4048.2028468807998</v>
      </c>
    </row>
  </sheetData>
  <mergeCells count="2">
    <mergeCell ref="A1:F1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3A9C-10D6-44E4-9E81-E83852CB2ABB}">
  <dimension ref="A1"/>
  <sheetViews>
    <sheetView topLeftCell="A19" workbookViewId="0">
      <selection activeCell="P63" sqref="P6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252A-4D48-4F96-863A-07566F5A9139}">
  <dimension ref="A1"/>
  <sheetViews>
    <sheetView workbookViewId="0">
      <selection activeCell="L59" sqref="L5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 1_GSKCH</vt:lpstr>
      <vt:lpstr>Income statement_GSKCH</vt:lpstr>
      <vt:lpstr>Assumption 2-HUL_with synergy</vt:lpstr>
      <vt:lpstr> Relative valuation</vt:lpstr>
      <vt:lpstr>Strategic Context</vt:lpstr>
      <vt:lpstr>Future Outlook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Ranjitha A</dc:creator>
  <cp:lastModifiedBy>Kuntal Pyne</cp:lastModifiedBy>
  <dcterms:created xsi:type="dcterms:W3CDTF">2025-10-24T09:01:28Z</dcterms:created>
  <dcterms:modified xsi:type="dcterms:W3CDTF">2025-11-22T09:30:12Z</dcterms:modified>
</cp:coreProperties>
</file>